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314" codeName="{6BE1CDB9-6C1C-A5B6-3FC1-E231EC3C600E}"/>
  <workbookPr codeName="ThisWorkbook"/>
  <mc:AlternateContent xmlns:mc="http://schemas.openxmlformats.org/markup-compatibility/2006">
    <mc:Choice Requires="x15">
      <x15ac:absPath xmlns:x15ac="http://schemas.microsoft.com/office/spreadsheetml/2010/11/ac" url="/Users/waqr/Downloads/"/>
    </mc:Choice>
  </mc:AlternateContent>
  <xr:revisionPtr revIDLastSave="0" documentId="8_{87EB3692-4FA5-6F48-8F09-0F750E922180}" xr6:coauthVersionLast="46" xr6:coauthVersionMax="46" xr10:uidLastSave="{00000000-0000-0000-0000-000000000000}"/>
  <bookViews>
    <workbookView xWindow="-27160" yWindow="2600" windowWidth="24860" windowHeight="20180" tabRatio="601" activeTab="2"/>
  </bookViews>
  <sheets>
    <sheet name="Model Figure" sheetId="1" r:id="rId1"/>
    <sheet name="Analysis" sheetId="2" r:id="rId2"/>
    <sheet name="Parameters" sheetId="3" r:id="rId3"/>
    <sheet name="Life tables" sheetId="4" r:id="rId4"/>
    <sheet name="Hazard function" sheetId="5" r:id="rId5"/>
    <sheet name="Standard" sheetId="6" r:id="rId6"/>
    <sheet name="NP1" sheetId="7" r:id="rId7"/>
    <sheet name="Simulation" sheetId="8" r:id="rId8"/>
    <sheet name="EVPI" sheetId="9" r:id="rId9"/>
    <sheet name="partial EVPI" sheetId="10" r:id="rId10"/>
    <sheet name="Macros" sheetId="11" state="veryHidden" r:id=""/>
  </sheets>
  <definedNames>
    <definedName name="a" localSheetId="4">'Hazard function'!$C$27</definedName>
    <definedName name="age">Parameters!$B$8</definedName>
    <definedName name="ageC">Parameters!$B$23</definedName>
    <definedName name="b" localSheetId="4">'Hazard function'!$C$28</definedName>
    <definedName name="c_" localSheetId="4">'Hazard function'!$D$28</definedName>
    <definedName name="cDR">Parameters!$B$11</definedName>
    <definedName name="_cNP1">Parameters!$B$36</definedName>
    <definedName name="_cNP2">Parameters!$B$37</definedName>
    <definedName name="cons">Parameters!$B$22</definedName>
    <definedName name="cPrimary">Parameters!$B$32</definedName>
    <definedName name="cRatio">Simulation!$Z$1</definedName>
    <definedName name="cRevision">Parameters!$B$33</definedName>
    <definedName name="cStandard">Parameters!$B$35</definedName>
    <definedName name="cSuccess">Parameters!$B$34</definedName>
    <definedName name="cycle" localSheetId="6">NP1!$A$6:$A$66</definedName>
    <definedName name="cycle">Standard!$A$6:$A$66</definedName>
    <definedName name="d" localSheetId="4">'Hazard function'!$C$29</definedName>
    <definedName name="e" localSheetId="4">'Hazard function'!$D$29</definedName>
    <definedName name="effpop">Simulation!$AN$4</definedName>
    <definedName name="f" localSheetId="4">'Hazard function'!$E$29</definedName>
    <definedName name="g" localSheetId="4">'Hazard function'!$C$30</definedName>
    <definedName name="gamma">Parameters!$B$26</definedName>
    <definedName name="h" localSheetId="4">'Hazard function'!$D$30</definedName>
    <definedName name="i" localSheetId="4">'Hazard function'!$E$30</definedName>
    <definedName name="j" localSheetId="4">'Hazard function'!$F$30</definedName>
    <definedName name="k" localSheetId="4">'Hazard function'!$C$31</definedName>
    <definedName name="l" localSheetId="4">'Hazard function'!$D$31</definedName>
    <definedName name="lambda">Parameters!$B$25</definedName>
    <definedName name="lifetable">'Life tables'!$C$15:$E$20</definedName>
    <definedName name="lngam">Parameters!$B$26</definedName>
    <definedName name="lnlam">Parameters!$B$25</definedName>
    <definedName name="m" localSheetId="4">'Hazard function'!$E$31</definedName>
    <definedName name="male">Parameters!$B$9</definedName>
    <definedName name="maleC">Parameters!$B$24</definedName>
    <definedName name="mr" localSheetId="6">NP1!$E$7:$E$66</definedName>
    <definedName name="mr">Standard!$E$7:$E$66</definedName>
    <definedName name="n" localSheetId="4">'Hazard function'!$F$31</definedName>
    <definedName name="NP1cost">NP1!$M$68</definedName>
    <definedName name="NP1lys">NP1!$N$68</definedName>
    <definedName name="NP1qalys">NP1!$O$68</definedName>
    <definedName name="np1RR">NP1!$C$7:$C$66</definedName>
    <definedName name="NP2cost">#REF!</definedName>
    <definedName name="NP2lys">#REF!</definedName>
    <definedName name="NP2qalys">#REF!</definedName>
    <definedName name="o" localSheetId="4">'Hazard function'!$G$31</definedName>
    <definedName name="oDR">Parameters!$B$12</definedName>
    <definedName name="omrPTHR">Parameters!$B$16</definedName>
    <definedName name="omrRTHR">Parameters!$B$17</definedName>
    <definedName name="p">'Hazard function'!$C$32</definedName>
    <definedName name="popEVPI">Simulation!$AP$1</definedName>
    <definedName name="_xlnm.Print_Area" localSheetId="2">Parameters!$A$1:$S$47</definedName>
    <definedName name="_xlnm.Print_Area" localSheetId="7">Simulation!$P$1:$AZ$20</definedName>
    <definedName name="q">'Hazard function'!$D$32</definedName>
    <definedName name="r_">'Hazard function'!$E$32</definedName>
    <definedName name="rrNP1">Parameters!$B$27</definedName>
    <definedName name="rrNP2">Parameters!$B$28</definedName>
    <definedName name="rrr">Parameters!$B$18</definedName>
    <definedName name="s">'Hazard function'!$F$32</definedName>
    <definedName name="standardRR">Standard!$C$7:$C$66</definedName>
    <definedName name="STDcost">Standard!$M$68</definedName>
    <definedName name="STDlys">Standard!$N$68</definedName>
    <definedName name="STDqalys">Standard!$O$68</definedName>
    <definedName name="t">'Hazard function'!$G$32</definedName>
    <definedName name="u">'Hazard function'!$H$32</definedName>
    <definedName name="uRevision">Parameters!$B$43</definedName>
    <definedName name="uSuccessP">Parameters!$B$41</definedName>
    <definedName name="uSuccessR">Parameters!$B$42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007" i="8" l="1"/>
  <c r="J15" i="2" s="1"/>
  <c r="J16" i="2" s="1"/>
  <c r="J19" i="2" s="1"/>
  <c r="R1007" i="8"/>
  <c r="J14" i="2" s="1"/>
  <c r="S1007" i="8"/>
  <c r="K15" i="2" s="1"/>
  <c r="K16" i="2" s="1"/>
  <c r="Q1007" i="8"/>
  <c r="K14" i="2"/>
  <c r="B41" i="3"/>
  <c r="D16" i="3"/>
  <c r="B16" i="3"/>
  <c r="D22" i="3"/>
  <c r="B22" i="3"/>
  <c r="D23" i="3"/>
  <c r="B23" i="3"/>
  <c r="B8" i="3"/>
  <c r="D24" i="3"/>
  <c r="B24" i="3" s="1"/>
  <c r="B9" i="3"/>
  <c r="D26" i="3"/>
  <c r="B26" i="3" s="1"/>
  <c r="E17" i="4"/>
  <c r="B43" i="3"/>
  <c r="D18" i="3"/>
  <c r="B18" i="3"/>
  <c r="B42" i="3"/>
  <c r="D17" i="3"/>
  <c r="B17" i="3"/>
  <c r="E8" i="6"/>
  <c r="E10" i="6"/>
  <c r="E18" i="4"/>
  <c r="E18" i="6"/>
  <c r="E20" i="6"/>
  <c r="E19" i="4"/>
  <c r="E22" i="6"/>
  <c r="E23" i="6"/>
  <c r="E24" i="6"/>
  <c r="E25" i="6"/>
  <c r="E27" i="6"/>
  <c r="E29" i="6"/>
  <c r="E30" i="6"/>
  <c r="E20" i="4"/>
  <c r="E49" i="6" s="1"/>
  <c r="E31" i="6"/>
  <c r="E37" i="6"/>
  <c r="E39" i="6"/>
  <c r="E41" i="6"/>
  <c r="E43" i="6"/>
  <c r="E45" i="6"/>
  <c r="E47" i="6"/>
  <c r="E53" i="6"/>
  <c r="E55" i="6"/>
  <c r="E57" i="6"/>
  <c r="E59" i="6"/>
  <c r="E61" i="6"/>
  <c r="E63" i="6"/>
  <c r="E65" i="6"/>
  <c r="M6" i="6"/>
  <c r="B34" i="3"/>
  <c r="B33" i="3"/>
  <c r="D27" i="3"/>
  <c r="B27" i="3" s="1"/>
  <c r="E7" i="7"/>
  <c r="J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M6" i="7"/>
  <c r="C16" i="5"/>
  <c r="C27" i="5"/>
  <c r="C28" i="5" s="1"/>
  <c r="D17" i="5"/>
  <c r="L18" i="5" s="1"/>
  <c r="G20" i="5"/>
  <c r="K20" i="5" s="1"/>
  <c r="O20" i="5"/>
  <c r="F19" i="5"/>
  <c r="N20" i="5" s="1"/>
  <c r="N19" i="5"/>
  <c r="E18" i="5"/>
  <c r="M20" i="5"/>
  <c r="M18" i="5"/>
  <c r="L20" i="5"/>
  <c r="L17" i="5"/>
  <c r="K19" i="5"/>
  <c r="K18" i="5"/>
  <c r="K17" i="5"/>
  <c r="K16" i="5"/>
  <c r="C36" i="5"/>
  <c r="C37" i="5"/>
  <c r="C38" i="5"/>
  <c r="C29" i="5"/>
  <c r="C39" i="5"/>
  <c r="C30" i="5"/>
  <c r="C40" i="5"/>
  <c r="C31" i="5"/>
  <c r="E10" i="5"/>
  <c r="E6" i="5"/>
  <c r="E7" i="5"/>
  <c r="E9" i="5"/>
  <c r="E8" i="5"/>
  <c r="D16" i="4"/>
  <c r="E16" i="4"/>
  <c r="D17" i="4"/>
  <c r="D18" i="4"/>
  <c r="D19" i="4"/>
  <c r="D20" i="4"/>
  <c r="E15" i="4"/>
  <c r="D15" i="4"/>
  <c r="L6" i="7"/>
  <c r="K7" i="7"/>
  <c r="C17" i="3"/>
  <c r="C16" i="3"/>
  <c r="G43" i="3"/>
  <c r="H43" i="3" s="1"/>
  <c r="C43" i="3" s="1"/>
  <c r="G42" i="3"/>
  <c r="H42" i="3"/>
  <c r="C42" i="3"/>
  <c r="G41" i="3"/>
  <c r="H41" i="3" s="1"/>
  <c r="C18" i="3"/>
  <c r="G33" i="3"/>
  <c r="H33" i="3"/>
  <c r="C33" i="3"/>
  <c r="E18" i="3"/>
  <c r="E17" i="3"/>
  <c r="E16" i="3"/>
  <c r="E22" i="3"/>
  <c r="E23" i="3"/>
  <c r="E24" i="3"/>
  <c r="E26" i="3"/>
  <c r="E27" i="3"/>
  <c r="X6" i="8"/>
  <c r="Y6" i="8"/>
  <c r="AK6" i="8"/>
  <c r="X7" i="8"/>
  <c r="AK7" i="8" s="1"/>
  <c r="Y7" i="8"/>
  <c r="X8" i="8"/>
  <c r="Y8" i="8"/>
  <c r="AB8" i="8" s="1"/>
  <c r="X9" i="8"/>
  <c r="Y9" i="8"/>
  <c r="AB9" i="8" s="1"/>
  <c r="AK9" i="8"/>
  <c r="X10" i="8"/>
  <c r="Y10" i="8"/>
  <c r="X11" i="8"/>
  <c r="AK11" i="8" s="1"/>
  <c r="Y11" i="8"/>
  <c r="X12" i="8"/>
  <c r="Y12" i="8"/>
  <c r="AK12" i="8"/>
  <c r="X13" i="8"/>
  <c r="Y13" i="8"/>
  <c r="X14" i="8"/>
  <c r="Y14" i="8"/>
  <c r="AK14" i="8"/>
  <c r="X15" i="8"/>
  <c r="AK15" i="8" s="1"/>
  <c r="Y15" i="8"/>
  <c r="X16" i="8"/>
  <c r="Y16" i="8"/>
  <c r="AK16" i="8" s="1"/>
  <c r="X17" i="8"/>
  <c r="AB17" i="8" s="1"/>
  <c r="Y17" i="8"/>
  <c r="AC17" i="8" s="1"/>
  <c r="AK17" i="8"/>
  <c r="X18" i="8"/>
  <c r="Y18" i="8"/>
  <c r="X19" i="8"/>
  <c r="AK19" i="8" s="1"/>
  <c r="Y19" i="8"/>
  <c r="X20" i="8"/>
  <c r="AK20" i="8" s="1"/>
  <c r="Y20" i="8"/>
  <c r="X21" i="8"/>
  <c r="Y21" i="8"/>
  <c r="X22" i="8"/>
  <c r="Y22" i="8"/>
  <c r="AK22" i="8"/>
  <c r="X23" i="8"/>
  <c r="AK23" i="8" s="1"/>
  <c r="Y23" i="8"/>
  <c r="X24" i="8"/>
  <c r="Y24" i="8"/>
  <c r="AK24" i="8" s="1"/>
  <c r="X25" i="8"/>
  <c r="Y25" i="8"/>
  <c r="AC25" i="8" s="1"/>
  <c r="AK25" i="8"/>
  <c r="X26" i="8"/>
  <c r="Y26" i="8"/>
  <c r="X27" i="8"/>
  <c r="AK27" i="8" s="1"/>
  <c r="Y27" i="8"/>
  <c r="X28" i="8"/>
  <c r="AK28" i="8" s="1"/>
  <c r="Y28" i="8"/>
  <c r="X29" i="8"/>
  <c r="Y29" i="8"/>
  <c r="X30" i="8"/>
  <c r="Y30" i="8"/>
  <c r="AK30" i="8"/>
  <c r="X31" i="8"/>
  <c r="AK31" i="8" s="1"/>
  <c r="Y31" i="8"/>
  <c r="X32" i="8"/>
  <c r="Y32" i="8"/>
  <c r="AK32" i="8" s="1"/>
  <c r="X33" i="8"/>
  <c r="AB33" i="8" s="1"/>
  <c r="Y33" i="8"/>
  <c r="AC33" i="8" s="1"/>
  <c r="X34" i="8"/>
  <c r="Y34" i="8"/>
  <c r="X35" i="8"/>
  <c r="AK35" i="8" s="1"/>
  <c r="Y35" i="8"/>
  <c r="X36" i="8"/>
  <c r="AK36" i="8" s="1"/>
  <c r="Y36" i="8"/>
  <c r="X37" i="8"/>
  <c r="Y37" i="8"/>
  <c r="X38" i="8"/>
  <c r="Y38" i="8"/>
  <c r="AK38" i="8"/>
  <c r="X39" i="8"/>
  <c r="AK39" i="8" s="1"/>
  <c r="Y39" i="8"/>
  <c r="X40" i="8"/>
  <c r="Y40" i="8"/>
  <c r="AK40" i="8" s="1"/>
  <c r="X41" i="8"/>
  <c r="Y41" i="8"/>
  <c r="AC41" i="8" s="1"/>
  <c r="AK41" i="8"/>
  <c r="X42" i="8"/>
  <c r="Y42" i="8"/>
  <c r="X43" i="8"/>
  <c r="AK43" i="8" s="1"/>
  <c r="Y43" i="8"/>
  <c r="X44" i="8"/>
  <c r="AK44" i="8" s="1"/>
  <c r="Y44" i="8"/>
  <c r="X45" i="8"/>
  <c r="Y45" i="8"/>
  <c r="X46" i="8"/>
  <c r="Y46" i="8"/>
  <c r="AK46" i="8"/>
  <c r="X47" i="8"/>
  <c r="AK47" i="8" s="1"/>
  <c r="Y47" i="8"/>
  <c r="X48" i="8"/>
  <c r="Y48" i="8"/>
  <c r="AK48" i="8" s="1"/>
  <c r="X49" i="8"/>
  <c r="AB49" i="8" s="1"/>
  <c r="Y49" i="8"/>
  <c r="AC49" i="8" s="1"/>
  <c r="X50" i="8"/>
  <c r="Y50" i="8"/>
  <c r="X51" i="8"/>
  <c r="AK51" i="8" s="1"/>
  <c r="Y51" i="8"/>
  <c r="X52" i="8"/>
  <c r="AK52" i="8" s="1"/>
  <c r="Y52" i="8"/>
  <c r="X53" i="8"/>
  <c r="Y53" i="8"/>
  <c r="X54" i="8"/>
  <c r="Y54" i="8"/>
  <c r="AK54" i="8"/>
  <c r="X55" i="8"/>
  <c r="AK55" i="8" s="1"/>
  <c r="Y55" i="8"/>
  <c r="X56" i="8"/>
  <c r="Y56" i="8"/>
  <c r="AK56" i="8" s="1"/>
  <c r="X57" i="8"/>
  <c r="Y57" i="8"/>
  <c r="AC57" i="8" s="1"/>
  <c r="AK57" i="8"/>
  <c r="X58" i="8"/>
  <c r="Y58" i="8"/>
  <c r="X59" i="8"/>
  <c r="AK59" i="8" s="1"/>
  <c r="Y59" i="8"/>
  <c r="X60" i="8"/>
  <c r="Y60" i="8"/>
  <c r="AK60" i="8"/>
  <c r="X61" i="8"/>
  <c r="Y61" i="8"/>
  <c r="X62" i="8"/>
  <c r="Y62" i="8"/>
  <c r="AK62" i="8"/>
  <c r="X63" i="8"/>
  <c r="Y63" i="8"/>
  <c r="AK63" i="8"/>
  <c r="X64" i="8"/>
  <c r="Y64" i="8"/>
  <c r="AK64" i="8" s="1"/>
  <c r="X65" i="8"/>
  <c r="AB65" i="8" s="1"/>
  <c r="Y65" i="8"/>
  <c r="AC65" i="8" s="1"/>
  <c r="X66" i="8"/>
  <c r="Y66" i="8"/>
  <c r="X67" i="8"/>
  <c r="AK67" i="8" s="1"/>
  <c r="Y67" i="8"/>
  <c r="X68" i="8"/>
  <c r="AK68" i="8" s="1"/>
  <c r="Y68" i="8"/>
  <c r="X69" i="8"/>
  <c r="Y69" i="8"/>
  <c r="X70" i="8"/>
  <c r="Y70" i="8"/>
  <c r="AK70" i="8"/>
  <c r="X71" i="8"/>
  <c r="AK71" i="8" s="1"/>
  <c r="Y71" i="8"/>
  <c r="X72" i="8"/>
  <c r="Y72" i="8"/>
  <c r="AK72" i="8" s="1"/>
  <c r="X73" i="8"/>
  <c r="Y73" i="8"/>
  <c r="AC73" i="8" s="1"/>
  <c r="AK73" i="8"/>
  <c r="X74" i="8"/>
  <c r="Y74" i="8"/>
  <c r="X75" i="8"/>
  <c r="AK75" i="8" s="1"/>
  <c r="Y75" i="8"/>
  <c r="X76" i="8"/>
  <c r="Y76" i="8"/>
  <c r="AK76" i="8"/>
  <c r="X77" i="8"/>
  <c r="Y77" i="8"/>
  <c r="X78" i="8"/>
  <c r="Y78" i="8"/>
  <c r="AK78" i="8"/>
  <c r="X79" i="8"/>
  <c r="Y79" i="8"/>
  <c r="AK79" i="8"/>
  <c r="X80" i="8"/>
  <c r="Y80" i="8"/>
  <c r="AK80" i="8" s="1"/>
  <c r="X81" i="8"/>
  <c r="AB81" i="8" s="1"/>
  <c r="Y81" i="8"/>
  <c r="AC81" i="8" s="1"/>
  <c r="X82" i="8"/>
  <c r="AK82" i="8" s="1"/>
  <c r="Y82" i="8"/>
  <c r="X83" i="8"/>
  <c r="AK83" i="8" s="1"/>
  <c r="Y83" i="8"/>
  <c r="X84" i="8"/>
  <c r="AK84" i="8" s="1"/>
  <c r="Y84" i="8"/>
  <c r="X85" i="8"/>
  <c r="Y85" i="8"/>
  <c r="X86" i="8"/>
  <c r="Y86" i="8"/>
  <c r="AK86" i="8"/>
  <c r="X87" i="8"/>
  <c r="AK87" i="8" s="1"/>
  <c r="Y87" i="8"/>
  <c r="X88" i="8"/>
  <c r="Y88" i="8"/>
  <c r="AK88" i="8" s="1"/>
  <c r="X89" i="8"/>
  <c r="Y89" i="8"/>
  <c r="AC89" i="8" s="1"/>
  <c r="AK89" i="8"/>
  <c r="X90" i="8"/>
  <c r="AK90" i="8" s="1"/>
  <c r="Y90" i="8"/>
  <c r="X91" i="8"/>
  <c r="AK91" i="8" s="1"/>
  <c r="Y91" i="8"/>
  <c r="X92" i="8"/>
  <c r="Y92" i="8"/>
  <c r="AK92" i="8"/>
  <c r="X93" i="8"/>
  <c r="Y93" i="8"/>
  <c r="X94" i="8"/>
  <c r="Y94" i="8"/>
  <c r="AK94" i="8"/>
  <c r="X95" i="8"/>
  <c r="Y95" i="8"/>
  <c r="AK95" i="8"/>
  <c r="X96" i="8"/>
  <c r="Y96" i="8"/>
  <c r="AK96" i="8" s="1"/>
  <c r="X97" i="8"/>
  <c r="AB97" i="8" s="1"/>
  <c r="Y97" i="8"/>
  <c r="AK97" i="8" s="1"/>
  <c r="X98" i="8"/>
  <c r="AK98" i="8" s="1"/>
  <c r="Y98" i="8"/>
  <c r="AC98" i="8" s="1"/>
  <c r="X99" i="8"/>
  <c r="AK99" i="8" s="1"/>
  <c r="Y99" i="8"/>
  <c r="X100" i="8"/>
  <c r="AK100" i="8" s="1"/>
  <c r="Y100" i="8"/>
  <c r="X101" i="8"/>
  <c r="Y101" i="8"/>
  <c r="X102" i="8"/>
  <c r="Y102" i="8"/>
  <c r="AK102" i="8"/>
  <c r="X103" i="8"/>
  <c r="AK103" i="8" s="1"/>
  <c r="Y103" i="8"/>
  <c r="X104" i="8"/>
  <c r="Y104" i="8"/>
  <c r="AK104" i="8"/>
  <c r="X105" i="8"/>
  <c r="Y105" i="8"/>
  <c r="AK105" i="8"/>
  <c r="AN6" i="8"/>
  <c r="AN7" i="8"/>
  <c r="AN8" i="8"/>
  <c r="AN9" i="8"/>
  <c r="AN10" i="8"/>
  <c r="AN4" i="8" s="1"/>
  <c r="AN11" i="8"/>
  <c r="AN12" i="8"/>
  <c r="AN13" i="8"/>
  <c r="AN14" i="8"/>
  <c r="AN15" i="8"/>
  <c r="V1007" i="8"/>
  <c r="U1007" i="8"/>
  <c r="Z6" i="8"/>
  <c r="Z7" i="8"/>
  <c r="Z8" i="8"/>
  <c r="AD8" i="8" s="1"/>
  <c r="Z9" i="8"/>
  <c r="AD9" i="8" s="1"/>
  <c r="Z10" i="8"/>
  <c r="AD10" i="8" s="1"/>
  <c r="Z11" i="8"/>
  <c r="AD11" i="8" s="1"/>
  <c r="Z12" i="8"/>
  <c r="Z4" i="8" s="1"/>
  <c r="Z13" i="8"/>
  <c r="Z14" i="8"/>
  <c r="Z15" i="8"/>
  <c r="Z16" i="8"/>
  <c r="AD16" i="8" s="1"/>
  <c r="Z17" i="8"/>
  <c r="AD17" i="8" s="1"/>
  <c r="Z18" i="8"/>
  <c r="AD18" i="8" s="1"/>
  <c r="Z19" i="8"/>
  <c r="AD19" i="8" s="1"/>
  <c r="Z20" i="8"/>
  <c r="AD20" i="8" s="1"/>
  <c r="Z21" i="8"/>
  <c r="Z22" i="8"/>
  <c r="Z23" i="8"/>
  <c r="Z24" i="8"/>
  <c r="AD24" i="8" s="1"/>
  <c r="Z25" i="8"/>
  <c r="AD25" i="8" s="1"/>
  <c r="Z26" i="8"/>
  <c r="AD26" i="8" s="1"/>
  <c r="Z27" i="8"/>
  <c r="AD27" i="8" s="1"/>
  <c r="Z28" i="8"/>
  <c r="Z29" i="8"/>
  <c r="Z30" i="8"/>
  <c r="Z31" i="8"/>
  <c r="Z32" i="8"/>
  <c r="AD32" i="8" s="1"/>
  <c r="Z33" i="8"/>
  <c r="AD33" i="8" s="1"/>
  <c r="Z34" i="8"/>
  <c r="AD34" i="8" s="1"/>
  <c r="Z35" i="8"/>
  <c r="AD35" i="8" s="1"/>
  <c r="Z36" i="8"/>
  <c r="AD36" i="8" s="1"/>
  <c r="Z37" i="8"/>
  <c r="Z38" i="8"/>
  <c r="Z39" i="8"/>
  <c r="Z40" i="8"/>
  <c r="AD40" i="8" s="1"/>
  <c r="Z41" i="8"/>
  <c r="AD41" i="8" s="1"/>
  <c r="Z42" i="8"/>
  <c r="AD42" i="8" s="1"/>
  <c r="Z43" i="8"/>
  <c r="AD43" i="8" s="1"/>
  <c r="Z44" i="8"/>
  <c r="AD44" i="8" s="1"/>
  <c r="Z45" i="8"/>
  <c r="Z46" i="8"/>
  <c r="Z47" i="8"/>
  <c r="Z48" i="8"/>
  <c r="AD48" i="8" s="1"/>
  <c r="Z49" i="8"/>
  <c r="AD49" i="8" s="1"/>
  <c r="Z50" i="8"/>
  <c r="AD50" i="8" s="1"/>
  <c r="Z51" i="8"/>
  <c r="AD51" i="8" s="1"/>
  <c r="Z52" i="8"/>
  <c r="AD52" i="8" s="1"/>
  <c r="Z53" i="8"/>
  <c r="Z54" i="8"/>
  <c r="Z55" i="8"/>
  <c r="Z56" i="8"/>
  <c r="AD56" i="8" s="1"/>
  <c r="Z57" i="8"/>
  <c r="AD57" i="8" s="1"/>
  <c r="Z58" i="8"/>
  <c r="AD58" i="8" s="1"/>
  <c r="Z59" i="8"/>
  <c r="AD59" i="8" s="1"/>
  <c r="Z60" i="8"/>
  <c r="AD60" i="8" s="1"/>
  <c r="Z61" i="8"/>
  <c r="Z62" i="8"/>
  <c r="Z63" i="8"/>
  <c r="Z64" i="8"/>
  <c r="AD64" i="8" s="1"/>
  <c r="Z65" i="8"/>
  <c r="AD65" i="8" s="1"/>
  <c r="Z66" i="8"/>
  <c r="AD66" i="8" s="1"/>
  <c r="Z67" i="8"/>
  <c r="AD67" i="8" s="1"/>
  <c r="Z68" i="8"/>
  <c r="AD68" i="8" s="1"/>
  <c r="Z69" i="8"/>
  <c r="Z70" i="8"/>
  <c r="Z71" i="8"/>
  <c r="Z72" i="8"/>
  <c r="AD72" i="8" s="1"/>
  <c r="Z73" i="8"/>
  <c r="AD73" i="8" s="1"/>
  <c r="Z74" i="8"/>
  <c r="AD74" i="8" s="1"/>
  <c r="Z75" i="8"/>
  <c r="AD75" i="8" s="1"/>
  <c r="Z76" i="8"/>
  <c r="AD76" i="8" s="1"/>
  <c r="Z77" i="8"/>
  <c r="Z78" i="8"/>
  <c r="Z79" i="8"/>
  <c r="Z80" i="8"/>
  <c r="AD80" i="8" s="1"/>
  <c r="Z81" i="8"/>
  <c r="AD81" i="8" s="1"/>
  <c r="Z82" i="8"/>
  <c r="AD82" i="8" s="1"/>
  <c r="Z83" i="8"/>
  <c r="AD83" i="8" s="1"/>
  <c r="Z84" i="8"/>
  <c r="AD84" i="8" s="1"/>
  <c r="Z85" i="8"/>
  <c r="Z86" i="8"/>
  <c r="Z87" i="8"/>
  <c r="Z88" i="8"/>
  <c r="AD88" i="8" s="1"/>
  <c r="Z89" i="8"/>
  <c r="AD89" i="8" s="1"/>
  <c r="Z90" i="8"/>
  <c r="AD90" i="8" s="1"/>
  <c r="Z91" i="8"/>
  <c r="AD91" i="8" s="1"/>
  <c r="Z92" i="8"/>
  <c r="AD92" i="8" s="1"/>
  <c r="Z93" i="8"/>
  <c r="Z94" i="8"/>
  <c r="Z95" i="8"/>
  <c r="Z96" i="8"/>
  <c r="AD96" i="8" s="1"/>
  <c r="Z97" i="8"/>
  <c r="AD97" i="8" s="1"/>
  <c r="Z98" i="8"/>
  <c r="AD98" i="8" s="1"/>
  <c r="Z99" i="8"/>
  <c r="AD99" i="8" s="1"/>
  <c r="Z100" i="8"/>
  <c r="AD100" i="8" s="1"/>
  <c r="Z101" i="8"/>
  <c r="Z102" i="8"/>
  <c r="Z103" i="8"/>
  <c r="Z104" i="8"/>
  <c r="AD104" i="8" s="1"/>
  <c r="Z105" i="8"/>
  <c r="AD105" i="8" s="1"/>
  <c r="AI4" i="8"/>
  <c r="AD7" i="8"/>
  <c r="AD12" i="8"/>
  <c r="AD13" i="8"/>
  <c r="AD14" i="8"/>
  <c r="AD15" i="8"/>
  <c r="AD21" i="8"/>
  <c r="AD22" i="8"/>
  <c r="AD23" i="8"/>
  <c r="AD28" i="8"/>
  <c r="AD29" i="8"/>
  <c r="AD30" i="8"/>
  <c r="AD31" i="8"/>
  <c r="AD37" i="8"/>
  <c r="AD38" i="8"/>
  <c r="AD39" i="8"/>
  <c r="AD45" i="8"/>
  <c r="AD46" i="8"/>
  <c r="AD47" i="8"/>
  <c r="AD53" i="8"/>
  <c r="AD54" i="8"/>
  <c r="AD55" i="8"/>
  <c r="AD61" i="8"/>
  <c r="AD62" i="8"/>
  <c r="AD63" i="8"/>
  <c r="AD69" i="8"/>
  <c r="AD70" i="8"/>
  <c r="AD71" i="8"/>
  <c r="AD77" i="8"/>
  <c r="AD78" i="8"/>
  <c r="AD79" i="8"/>
  <c r="AD85" i="8"/>
  <c r="AD86" i="8"/>
  <c r="AD87" i="8"/>
  <c r="AD93" i="8"/>
  <c r="AD94" i="8"/>
  <c r="AD95" i="8"/>
  <c r="AD101" i="8"/>
  <c r="AD102" i="8"/>
  <c r="AD103" i="8"/>
  <c r="AD6" i="8"/>
  <c r="AB6" i="8"/>
  <c r="AC6" i="8"/>
  <c r="AC8" i="8"/>
  <c r="AB11" i="8"/>
  <c r="AC11" i="8"/>
  <c r="AB12" i="8"/>
  <c r="AC12" i="8"/>
  <c r="AB14" i="8"/>
  <c r="AC14" i="8"/>
  <c r="AB15" i="8"/>
  <c r="AC15" i="8"/>
  <c r="AB16" i="8"/>
  <c r="AC16" i="8"/>
  <c r="AB19" i="8"/>
  <c r="AC19" i="8"/>
  <c r="AB20" i="8"/>
  <c r="AB22" i="8"/>
  <c r="AC22" i="8"/>
  <c r="AC23" i="8"/>
  <c r="AB24" i="8"/>
  <c r="AC24" i="8"/>
  <c r="AB27" i="8"/>
  <c r="AC27" i="8"/>
  <c r="AB28" i="8"/>
  <c r="AC28" i="8"/>
  <c r="AB30" i="8"/>
  <c r="AC30" i="8"/>
  <c r="AB31" i="8"/>
  <c r="AC31" i="8"/>
  <c r="AB32" i="8"/>
  <c r="AC32" i="8"/>
  <c r="AB35" i="8"/>
  <c r="AC35" i="8"/>
  <c r="AC36" i="8"/>
  <c r="AB38" i="8"/>
  <c r="AC38" i="8"/>
  <c r="AB39" i="8"/>
  <c r="AB40" i="8"/>
  <c r="AC40" i="8"/>
  <c r="AB43" i="8"/>
  <c r="AC43" i="8"/>
  <c r="AB44" i="8"/>
  <c r="AC44" i="8"/>
  <c r="AB46" i="8"/>
  <c r="AC46" i="8"/>
  <c r="AB47" i="8"/>
  <c r="AC47" i="8"/>
  <c r="AB48" i="8"/>
  <c r="AC48" i="8"/>
  <c r="AB51" i="8"/>
  <c r="AC51" i="8"/>
  <c r="AB52" i="8"/>
  <c r="AB54" i="8"/>
  <c r="AC54" i="8"/>
  <c r="AC55" i="8"/>
  <c r="AB56" i="8"/>
  <c r="AC56" i="8"/>
  <c r="AB59" i="8"/>
  <c r="AC59" i="8"/>
  <c r="AB60" i="8"/>
  <c r="AC60" i="8"/>
  <c r="AB62" i="8"/>
  <c r="AC62" i="8"/>
  <c r="AB63" i="8"/>
  <c r="AC63" i="8"/>
  <c r="AB64" i="8"/>
  <c r="AC64" i="8"/>
  <c r="AB67" i="8"/>
  <c r="AC67" i="8"/>
  <c r="AC68" i="8"/>
  <c r="AB70" i="8"/>
  <c r="AC70" i="8"/>
  <c r="AB72" i="8"/>
  <c r="AC72" i="8"/>
  <c r="AB75" i="8"/>
  <c r="AC75" i="8"/>
  <c r="AB76" i="8"/>
  <c r="AC76" i="8"/>
  <c r="AB78" i="8"/>
  <c r="AC78" i="8"/>
  <c r="AB79" i="8"/>
  <c r="AC79" i="8"/>
  <c r="AB80" i="8"/>
  <c r="AC80" i="8"/>
  <c r="AB82" i="8"/>
  <c r="AB83" i="8"/>
  <c r="AC83" i="8"/>
  <c r="AB86" i="8"/>
  <c r="AC86" i="8"/>
  <c r="AB87" i="8"/>
  <c r="AC87" i="8"/>
  <c r="AB88" i="8"/>
  <c r="AC88" i="8"/>
  <c r="AB91" i="8"/>
  <c r="AC91" i="8"/>
  <c r="AB92" i="8"/>
  <c r="AC92" i="8"/>
  <c r="AC93" i="8"/>
  <c r="AB94" i="8"/>
  <c r="AC94" i="8"/>
  <c r="AB95" i="8"/>
  <c r="AC95" i="8"/>
  <c r="AB96" i="8"/>
  <c r="AC96" i="8"/>
  <c r="AC97" i="8"/>
  <c r="AB98" i="8"/>
  <c r="AB99" i="8"/>
  <c r="AC99" i="8"/>
  <c r="AC101" i="8"/>
  <c r="AB102" i="8"/>
  <c r="AC102" i="8"/>
  <c r="AB103" i="8"/>
  <c r="AC103" i="8"/>
  <c r="AB104" i="8"/>
  <c r="AC104" i="8"/>
  <c r="AC105" i="8"/>
  <c r="AC9" i="8"/>
  <c r="C4" i="8"/>
  <c r="D4" i="8"/>
  <c r="E4" i="8"/>
  <c r="F4" i="8"/>
  <c r="G4" i="8"/>
  <c r="I4" i="8"/>
  <c r="J4" i="8"/>
  <c r="K4" i="8"/>
  <c r="L4" i="8"/>
  <c r="M4" i="8"/>
  <c r="N4" i="8"/>
  <c r="O4" i="8"/>
  <c r="L6" i="6"/>
  <c r="AB71" i="8" l="1"/>
  <c r="AC90" i="8"/>
  <c r="AC74" i="8"/>
  <c r="AC58" i="8"/>
  <c r="AC42" i="8"/>
  <c r="AC26" i="8"/>
  <c r="AC10" i="8"/>
  <c r="AK74" i="8"/>
  <c r="AB74" i="8"/>
  <c r="AK58" i="8"/>
  <c r="AB58" i="8"/>
  <c r="AK42" i="8"/>
  <c r="AB42" i="8"/>
  <c r="AK26" i="8"/>
  <c r="AB26" i="8"/>
  <c r="AK10" i="8"/>
  <c r="AB10" i="8"/>
  <c r="AD4" i="8"/>
  <c r="AB93" i="8"/>
  <c r="AK93" i="8"/>
  <c r="AB77" i="8"/>
  <c r="AK77" i="8"/>
  <c r="AC77" i="8"/>
  <c r="AB61" i="8"/>
  <c r="AK61" i="8"/>
  <c r="AC61" i="8"/>
  <c r="AB45" i="8"/>
  <c r="AK45" i="8"/>
  <c r="AC45" i="8"/>
  <c r="AB29" i="8"/>
  <c r="AK29" i="8"/>
  <c r="AC29" i="8"/>
  <c r="AB13" i="8"/>
  <c r="AK13" i="8"/>
  <c r="AC13" i="8"/>
  <c r="AB105" i="8"/>
  <c r="Y4" i="8"/>
  <c r="AB68" i="8"/>
  <c r="AB55" i="8"/>
  <c r="AB36" i="8"/>
  <c r="AB23" i="8"/>
  <c r="AB89" i="8"/>
  <c r="AC82" i="8"/>
  <c r="AB73" i="8"/>
  <c r="AC66" i="8"/>
  <c r="AB57" i="8"/>
  <c r="AC50" i="8"/>
  <c r="AB41" i="8"/>
  <c r="AC34" i="8"/>
  <c r="AB25" i="8"/>
  <c r="AC18" i="8"/>
  <c r="AK66" i="8"/>
  <c r="AB66" i="8"/>
  <c r="AK50" i="8"/>
  <c r="AB50" i="8"/>
  <c r="AK34" i="8"/>
  <c r="AB34" i="8"/>
  <c r="AK18" i="8"/>
  <c r="AB18" i="8"/>
  <c r="C41" i="3"/>
  <c r="AC100" i="8"/>
  <c r="AC84" i="8"/>
  <c r="AC7" i="8"/>
  <c r="AC4" i="8" s="1"/>
  <c r="AB101" i="8"/>
  <c r="AK101" i="8"/>
  <c r="AB85" i="8"/>
  <c r="AK85" i="8"/>
  <c r="AC85" i="8"/>
  <c r="AK81" i="8"/>
  <c r="AB69" i="8"/>
  <c r="AK69" i="8"/>
  <c r="AC69" i="8"/>
  <c r="AK65" i="8"/>
  <c r="AB53" i="8"/>
  <c r="AK53" i="8"/>
  <c r="AC53" i="8"/>
  <c r="AK49" i="8"/>
  <c r="AB37" i="8"/>
  <c r="AK37" i="8"/>
  <c r="AC37" i="8"/>
  <c r="AK33" i="8"/>
  <c r="AB21" i="8"/>
  <c r="AK21" i="8"/>
  <c r="AC21" i="8"/>
  <c r="AB100" i="8"/>
  <c r="AB90" i="8"/>
  <c r="AB84" i="8"/>
  <c r="AC71" i="8"/>
  <c r="AC52" i="8"/>
  <c r="AC39" i="8"/>
  <c r="AC20" i="8"/>
  <c r="AB7" i="8"/>
  <c r="AB4" i="8" s="1"/>
  <c r="X4" i="8"/>
  <c r="AK8" i="8"/>
  <c r="AK4" i="8" s="1"/>
  <c r="E36" i="5"/>
  <c r="G36" i="5" s="1"/>
  <c r="C26" i="3" s="1"/>
  <c r="L19" i="5"/>
  <c r="D28" i="5"/>
  <c r="E37" i="5" s="1"/>
  <c r="G37" i="5" s="1"/>
  <c r="C22" i="3" s="1"/>
  <c r="M19" i="5"/>
  <c r="E11" i="6"/>
  <c r="E15" i="6"/>
  <c r="E19" i="6"/>
  <c r="E32" i="6"/>
  <c r="E36" i="6"/>
  <c r="E40" i="6"/>
  <c r="E44" i="6"/>
  <c r="E48" i="6"/>
  <c r="E52" i="6"/>
  <c r="E56" i="6"/>
  <c r="E60" i="6"/>
  <c r="E64" i="6"/>
  <c r="E13" i="6"/>
  <c r="E17" i="6"/>
  <c r="E34" i="6"/>
  <c r="E38" i="6"/>
  <c r="E42" i="6"/>
  <c r="E46" i="6"/>
  <c r="E50" i="6"/>
  <c r="E54" i="6"/>
  <c r="E58" i="6"/>
  <c r="E62" i="6"/>
  <c r="E66" i="6"/>
  <c r="E51" i="6"/>
  <c r="E35" i="6"/>
  <c r="E28" i="6"/>
  <c r="E21" i="6"/>
  <c r="E16" i="6"/>
  <c r="E9" i="6"/>
  <c r="E7" i="6"/>
  <c r="E33" i="6"/>
  <c r="E26" i="6"/>
  <c r="E14" i="6"/>
  <c r="B25" i="3"/>
  <c r="E12" i="6"/>
  <c r="C10" i="6" l="1"/>
  <c r="C23" i="6"/>
  <c r="C27" i="6"/>
  <c r="C31" i="6"/>
  <c r="C10" i="7"/>
  <c r="C14" i="7"/>
  <c r="C18" i="7"/>
  <c r="C22" i="7"/>
  <c r="C26" i="7"/>
  <c r="C30" i="7"/>
  <c r="C34" i="7"/>
  <c r="C38" i="7"/>
  <c r="C42" i="7"/>
  <c r="C46" i="7"/>
  <c r="C8" i="6"/>
  <c r="C25" i="6"/>
  <c r="C29" i="6"/>
  <c r="C7" i="6"/>
  <c r="C14" i="6"/>
  <c r="C21" i="6"/>
  <c r="C26" i="6"/>
  <c r="C33" i="6"/>
  <c r="C40" i="6"/>
  <c r="C49" i="6"/>
  <c r="C56" i="6"/>
  <c r="C65" i="6"/>
  <c r="C9" i="7"/>
  <c r="C12" i="7"/>
  <c r="C15" i="7"/>
  <c r="C9" i="6"/>
  <c r="C16" i="6"/>
  <c r="C28" i="6"/>
  <c r="C35" i="6"/>
  <c r="C42" i="6"/>
  <c r="C51" i="6"/>
  <c r="C58" i="6"/>
  <c r="C11" i="6"/>
  <c r="C18" i="6"/>
  <c r="C30" i="6"/>
  <c r="C37" i="6"/>
  <c r="C44" i="6"/>
  <c r="C53" i="6"/>
  <c r="C60" i="6"/>
  <c r="C20" i="6"/>
  <c r="C39" i="6"/>
  <c r="C46" i="6"/>
  <c r="C55" i="6"/>
  <c r="C62" i="6"/>
  <c r="C8" i="7"/>
  <c r="C11" i="7"/>
  <c r="C37" i="7"/>
  <c r="C40" i="7"/>
  <c r="C43" i="7"/>
  <c r="C49" i="7"/>
  <c r="C53" i="7"/>
  <c r="C57" i="7"/>
  <c r="C61" i="7"/>
  <c r="C65" i="7"/>
  <c r="C13" i="6"/>
  <c r="C32" i="6"/>
  <c r="C41" i="6"/>
  <c r="C48" i="6"/>
  <c r="C57" i="6"/>
  <c r="C64" i="6"/>
  <c r="C25" i="7"/>
  <c r="C28" i="7"/>
  <c r="C31" i="7"/>
  <c r="C15" i="6"/>
  <c r="C34" i="6"/>
  <c r="C43" i="6"/>
  <c r="C50" i="6"/>
  <c r="C59" i="6"/>
  <c r="C66" i="6"/>
  <c r="C13" i="7"/>
  <c r="C16" i="7"/>
  <c r="C19" i="7"/>
  <c r="C45" i="7"/>
  <c r="C48" i="7"/>
  <c r="C52" i="7"/>
  <c r="C56" i="7"/>
  <c r="C60" i="7"/>
  <c r="C64" i="7"/>
  <c r="C17" i="6"/>
  <c r="C22" i="6"/>
  <c r="C36" i="6"/>
  <c r="C45" i="6"/>
  <c r="C52" i="6"/>
  <c r="C61" i="6"/>
  <c r="C7" i="7"/>
  <c r="C33" i="7"/>
  <c r="C36" i="7"/>
  <c r="C39" i="7"/>
  <c r="C12" i="6"/>
  <c r="C19" i="6"/>
  <c r="C24" i="6"/>
  <c r="C38" i="6"/>
  <c r="C47" i="6"/>
  <c r="C54" i="6"/>
  <c r="C63" i="6"/>
  <c r="C21" i="7"/>
  <c r="C24" i="7"/>
  <c r="C27" i="7"/>
  <c r="C51" i="7"/>
  <c r="C55" i="7"/>
  <c r="C59" i="7"/>
  <c r="C63" i="7"/>
  <c r="C66" i="7"/>
  <c r="C20" i="7"/>
  <c r="C23" i="7"/>
  <c r="C62" i="7"/>
  <c r="C17" i="7"/>
  <c r="C54" i="7"/>
  <c r="C58" i="7"/>
  <c r="C41" i="7"/>
  <c r="C44" i="7"/>
  <c r="C47" i="7"/>
  <c r="C29" i="7"/>
  <c r="C32" i="7"/>
  <c r="C35" i="7"/>
  <c r="C50" i="7"/>
  <c r="H4" i="8"/>
  <c r="D29" i="5"/>
  <c r="D31" i="5"/>
  <c r="D30" i="5"/>
  <c r="AK3" i="8"/>
  <c r="AK1" i="8" s="1"/>
  <c r="AP1" i="8" s="1"/>
  <c r="J7" i="6"/>
  <c r="K7" i="6"/>
  <c r="H7" i="6" l="1"/>
  <c r="I7" i="6"/>
  <c r="J8" i="6" s="1"/>
  <c r="I7" i="7"/>
  <c r="H7" i="7"/>
  <c r="E29" i="5"/>
  <c r="E30" i="5" s="1"/>
  <c r="F30" i="5" l="1"/>
  <c r="E39" i="5" s="1"/>
  <c r="G39" i="5" s="1"/>
  <c r="C24" i="3" s="1"/>
  <c r="M7" i="7"/>
  <c r="H8" i="7"/>
  <c r="I8" i="7"/>
  <c r="J9" i="7" s="1"/>
  <c r="O7" i="7"/>
  <c r="K8" i="7"/>
  <c r="L7" i="7"/>
  <c r="J8" i="7"/>
  <c r="N7" i="7"/>
  <c r="O7" i="6"/>
  <c r="H8" i="6"/>
  <c r="M7" i="6"/>
  <c r="I8" i="6"/>
  <c r="J9" i="6" s="1"/>
  <c r="K8" i="6"/>
  <c r="L7" i="6"/>
  <c r="E31" i="5"/>
  <c r="E38" i="5"/>
  <c r="G38" i="5" s="1"/>
  <c r="C23" i="3" s="1"/>
  <c r="N7" i="6"/>
  <c r="O8" i="6" l="1"/>
  <c r="I9" i="6"/>
  <c r="J10" i="6" s="1"/>
  <c r="M8" i="6"/>
  <c r="L8" i="6"/>
  <c r="K9" i="6"/>
  <c r="H9" i="6"/>
  <c r="I9" i="7"/>
  <c r="J10" i="7" s="1"/>
  <c r="O8" i="7"/>
  <c r="K9" i="7"/>
  <c r="L8" i="7"/>
  <c r="H9" i="7"/>
  <c r="M8" i="7"/>
  <c r="N9" i="6"/>
  <c r="N8" i="6"/>
  <c r="N8" i="7"/>
  <c r="F31" i="5"/>
  <c r="I10" i="6" l="1"/>
  <c r="J11" i="6" s="1"/>
  <c r="O9" i="6"/>
  <c r="H10" i="6"/>
  <c r="L9" i="6"/>
  <c r="K10" i="6"/>
  <c r="M9" i="6"/>
  <c r="G31" i="5"/>
  <c r="E40" i="5" s="1"/>
  <c r="G40" i="5" s="1"/>
  <c r="C27" i="3" s="1"/>
  <c r="I10" i="7"/>
  <c r="J11" i="7" s="1"/>
  <c r="O9" i="7"/>
  <c r="M9" i="7"/>
  <c r="H10" i="7"/>
  <c r="L9" i="7"/>
  <c r="K10" i="7"/>
  <c r="N9" i="7"/>
  <c r="M10" i="6" l="1"/>
  <c r="O10" i="6"/>
  <c r="H11" i="6"/>
  <c r="I11" i="6"/>
  <c r="J12" i="6" s="1"/>
  <c r="L10" i="6"/>
  <c r="K11" i="6"/>
  <c r="I11" i="7"/>
  <c r="J12" i="7" s="1"/>
  <c r="M10" i="7"/>
  <c r="L10" i="7"/>
  <c r="K11" i="7"/>
  <c r="O10" i="7"/>
  <c r="H11" i="7"/>
  <c r="N10" i="7"/>
  <c r="N10" i="6"/>
  <c r="I12" i="6" l="1"/>
  <c r="J13" i="6" s="1"/>
  <c r="H12" i="6"/>
  <c r="K12" i="6"/>
  <c r="M11" i="6"/>
  <c r="L11" i="6"/>
  <c r="O11" i="6"/>
  <c r="N12" i="6"/>
  <c r="I12" i="7"/>
  <c r="J13" i="7" s="1"/>
  <c r="O11" i="7"/>
  <c r="H12" i="7"/>
  <c r="M11" i="7"/>
  <c r="K12" i="7"/>
  <c r="L11" i="7"/>
  <c r="N11" i="7"/>
  <c r="N11" i="6"/>
  <c r="M12" i="6" l="1"/>
  <c r="O12" i="6"/>
  <c r="H13" i="6"/>
  <c r="I13" i="6"/>
  <c r="J14" i="6" s="1"/>
  <c r="K13" i="6"/>
  <c r="L12" i="6"/>
  <c r="I13" i="7"/>
  <c r="J14" i="7" s="1"/>
  <c r="O12" i="7"/>
  <c r="H13" i="7"/>
  <c r="M12" i="7"/>
  <c r="K13" i="7"/>
  <c r="L12" i="7"/>
  <c r="N12" i="7"/>
  <c r="I14" i="6" l="1"/>
  <c r="J15" i="6" s="1"/>
  <c r="H14" i="6"/>
  <c r="M13" i="6"/>
  <c r="L13" i="6"/>
  <c r="K14" i="6"/>
  <c r="O13" i="6"/>
  <c r="N14" i="7"/>
  <c r="N13" i="7"/>
  <c r="N13" i="6"/>
  <c r="H14" i="7"/>
  <c r="I14" i="7"/>
  <c r="J15" i="7" s="1"/>
  <c r="M13" i="7"/>
  <c r="O13" i="7"/>
  <c r="K14" i="7"/>
  <c r="L13" i="7"/>
  <c r="O14" i="7" l="1"/>
  <c r="M14" i="7"/>
  <c r="K15" i="7"/>
  <c r="L14" i="7"/>
  <c r="I15" i="7"/>
  <c r="J16" i="7" s="1"/>
  <c r="H15" i="7"/>
  <c r="O14" i="6"/>
  <c r="M14" i="6"/>
  <c r="H15" i="6"/>
  <c r="I15" i="6"/>
  <c r="J16" i="6" s="1"/>
  <c r="K15" i="6"/>
  <c r="L14" i="6"/>
  <c r="N15" i="6"/>
  <c r="N14" i="6"/>
  <c r="N15" i="7" l="1"/>
  <c r="I16" i="7"/>
  <c r="J17" i="7" s="1"/>
  <c r="M15" i="7"/>
  <c r="O15" i="7"/>
  <c r="H16" i="7"/>
  <c r="L15" i="7"/>
  <c r="K16" i="7"/>
  <c r="I16" i="6"/>
  <c r="J17" i="6" s="1"/>
  <c r="H16" i="6"/>
  <c r="N16" i="6" s="1"/>
  <c r="M15" i="6"/>
  <c r="L15" i="6"/>
  <c r="K16" i="6"/>
  <c r="O15" i="6"/>
  <c r="I17" i="6" l="1"/>
  <c r="J18" i="6" s="1"/>
  <c r="O16" i="6"/>
  <c r="M16" i="6"/>
  <c r="H17" i="6"/>
  <c r="N17" i="6" s="1"/>
  <c r="K17" i="6"/>
  <c r="L16" i="6"/>
  <c r="H17" i="7"/>
  <c r="N17" i="7" s="1"/>
  <c r="I17" i="7"/>
  <c r="J18" i="7" s="1"/>
  <c r="K17" i="7"/>
  <c r="O16" i="7"/>
  <c r="L16" i="7"/>
  <c r="M16" i="7"/>
  <c r="N16" i="7"/>
  <c r="I18" i="6" l="1"/>
  <c r="J19" i="6" s="1"/>
  <c r="H18" i="6"/>
  <c r="L17" i="6"/>
  <c r="K18" i="6"/>
  <c r="O17" i="6"/>
  <c r="M17" i="6"/>
  <c r="M17" i="7"/>
  <c r="O17" i="7"/>
  <c r="K18" i="7"/>
  <c r="L17" i="7"/>
  <c r="H18" i="7"/>
  <c r="I18" i="7"/>
  <c r="J19" i="7" s="1"/>
  <c r="N18" i="6"/>
  <c r="O18" i="7" l="1"/>
  <c r="I19" i="7"/>
  <c r="J20" i="7" s="1"/>
  <c r="K19" i="7"/>
  <c r="L18" i="7"/>
  <c r="M18" i="7"/>
  <c r="H19" i="7"/>
  <c r="H19" i="6"/>
  <c r="N19" i="6" s="1"/>
  <c r="I19" i="6"/>
  <c r="J20" i="6" s="1"/>
  <c r="O18" i="6"/>
  <c r="M18" i="6"/>
  <c r="L18" i="6"/>
  <c r="K19" i="6"/>
  <c r="N18" i="7"/>
  <c r="H20" i="7" l="1"/>
  <c r="I20" i="7"/>
  <c r="J21" i="7" s="1"/>
  <c r="O19" i="7"/>
  <c r="L19" i="7"/>
  <c r="K20" i="7"/>
  <c r="M19" i="7"/>
  <c r="I20" i="6"/>
  <c r="J21" i="6" s="1"/>
  <c r="M19" i="6"/>
  <c r="H20" i="6"/>
  <c r="K20" i="6"/>
  <c r="L19" i="6"/>
  <c r="O19" i="6"/>
  <c r="N19" i="7"/>
  <c r="N20" i="7"/>
  <c r="N20" i="6" l="1"/>
  <c r="H21" i="6"/>
  <c r="I21" i="6"/>
  <c r="J22" i="6" s="1"/>
  <c r="O20" i="6"/>
  <c r="K21" i="6"/>
  <c r="M20" i="6"/>
  <c r="L20" i="6"/>
  <c r="O20" i="7"/>
  <c r="M20" i="7"/>
  <c r="L20" i="7"/>
  <c r="H21" i="7"/>
  <c r="K21" i="7"/>
  <c r="I21" i="7"/>
  <c r="J22" i="7" s="1"/>
  <c r="I22" i="6" l="1"/>
  <c r="J23" i="6" s="1"/>
  <c r="M21" i="6"/>
  <c r="O21" i="6"/>
  <c r="K22" i="6"/>
  <c r="L21" i="6"/>
  <c r="H22" i="6"/>
  <c r="N21" i="7"/>
  <c r="N22" i="7"/>
  <c r="O21" i="7"/>
  <c r="H22" i="7"/>
  <c r="I22" i="7"/>
  <c r="J23" i="7" s="1"/>
  <c r="M21" i="7"/>
  <c r="K22" i="7"/>
  <c r="L21" i="7"/>
  <c r="N21" i="6"/>
  <c r="O22" i="6" l="1"/>
  <c r="M22" i="6"/>
  <c r="H23" i="6"/>
  <c r="I23" i="6"/>
  <c r="J24" i="6" s="1"/>
  <c r="L22" i="6"/>
  <c r="K23" i="6"/>
  <c r="N22" i="6"/>
  <c r="I23" i="7"/>
  <c r="J24" i="7" s="1"/>
  <c r="O22" i="7"/>
  <c r="M22" i="7"/>
  <c r="K23" i="7"/>
  <c r="L22" i="7"/>
  <c r="H23" i="7"/>
  <c r="N23" i="6"/>
  <c r="N23" i="7" l="1"/>
  <c r="I24" i="6"/>
  <c r="J25" i="6" s="1"/>
  <c r="M23" i="6"/>
  <c r="O23" i="6"/>
  <c r="L23" i="6"/>
  <c r="K24" i="6"/>
  <c r="H24" i="6"/>
  <c r="M23" i="7"/>
  <c r="O23" i="7"/>
  <c r="H24" i="7"/>
  <c r="I24" i="7"/>
  <c r="J25" i="7" s="1"/>
  <c r="L23" i="7"/>
  <c r="K24" i="7"/>
  <c r="O24" i="7" l="1"/>
  <c r="H25" i="7"/>
  <c r="I25" i="7"/>
  <c r="J26" i="7" s="1"/>
  <c r="K25" i="7"/>
  <c r="M24" i="7"/>
  <c r="L24" i="7"/>
  <c r="N25" i="6"/>
  <c r="O24" i="6"/>
  <c r="H25" i="6"/>
  <c r="M24" i="6"/>
  <c r="I25" i="6"/>
  <c r="J26" i="6" s="1"/>
  <c r="L24" i="6"/>
  <c r="K25" i="6"/>
  <c r="N24" i="7"/>
  <c r="N24" i="6"/>
  <c r="H26" i="7" l="1"/>
  <c r="I26" i="7"/>
  <c r="J27" i="7" s="1"/>
  <c r="M25" i="7"/>
  <c r="O25" i="7"/>
  <c r="K26" i="7"/>
  <c r="L25" i="7"/>
  <c r="I26" i="6"/>
  <c r="J27" i="6" s="1"/>
  <c r="O25" i="6"/>
  <c r="L25" i="6"/>
  <c r="K26" i="6"/>
  <c r="M25" i="6"/>
  <c r="H26" i="6"/>
  <c r="N25" i="7"/>
  <c r="O26" i="7" l="1"/>
  <c r="K27" i="7"/>
  <c r="L26" i="7"/>
  <c r="I27" i="7"/>
  <c r="J28" i="7" s="1"/>
  <c r="M26" i="7"/>
  <c r="H27" i="7"/>
  <c r="N26" i="6"/>
  <c r="O26" i="6"/>
  <c r="H27" i="6"/>
  <c r="M26" i="6"/>
  <c r="I27" i="6"/>
  <c r="J28" i="6" s="1"/>
  <c r="L26" i="6"/>
  <c r="K27" i="6"/>
  <c r="N27" i="6"/>
  <c r="N26" i="7"/>
  <c r="O27" i="7" l="1"/>
  <c r="H28" i="7"/>
  <c r="I28" i="7"/>
  <c r="J29" i="7" s="1"/>
  <c r="L27" i="7"/>
  <c r="K28" i="7"/>
  <c r="M27" i="7"/>
  <c r="N28" i="7"/>
  <c r="N27" i="7"/>
  <c r="O27" i="6"/>
  <c r="I28" i="6"/>
  <c r="J29" i="6" s="1"/>
  <c r="M27" i="6"/>
  <c r="K28" i="6"/>
  <c r="L27" i="6"/>
  <c r="H28" i="6"/>
  <c r="I29" i="6" l="1"/>
  <c r="J30" i="6" s="1"/>
  <c r="M28" i="6"/>
  <c r="O28" i="6"/>
  <c r="H29" i="6"/>
  <c r="K29" i="6"/>
  <c r="L28" i="6"/>
  <c r="H29" i="7"/>
  <c r="N29" i="7" s="1"/>
  <c r="I29" i="7"/>
  <c r="J30" i="7" s="1"/>
  <c r="L28" i="7"/>
  <c r="K29" i="7"/>
  <c r="O28" i="7"/>
  <c r="M28" i="7"/>
  <c r="N28" i="6"/>
  <c r="O29" i="6" l="1"/>
  <c r="I30" i="6"/>
  <c r="J31" i="6" s="1"/>
  <c r="M29" i="6"/>
  <c r="L29" i="6"/>
  <c r="K30" i="6"/>
  <c r="H30" i="6"/>
  <c r="N29" i="6"/>
  <c r="O29" i="7"/>
  <c r="H30" i="7"/>
  <c r="I30" i="7"/>
  <c r="J31" i="7" s="1"/>
  <c r="K30" i="7"/>
  <c r="M29" i="7"/>
  <c r="L29" i="7"/>
  <c r="N30" i="7"/>
  <c r="I31" i="6" l="1"/>
  <c r="J32" i="6" s="1"/>
  <c r="H31" i="6"/>
  <c r="M30" i="6"/>
  <c r="O30" i="6"/>
  <c r="K31" i="6"/>
  <c r="L30" i="6"/>
  <c r="N30" i="6"/>
  <c r="N31" i="6"/>
  <c r="O30" i="7"/>
  <c r="I31" i="7"/>
  <c r="J32" i="7" s="1"/>
  <c r="M30" i="7"/>
  <c r="K31" i="7"/>
  <c r="L30" i="7"/>
  <c r="H31" i="7"/>
  <c r="H32" i="7" l="1"/>
  <c r="M31" i="7"/>
  <c r="I32" i="7"/>
  <c r="J33" i="7" s="1"/>
  <c r="L31" i="7"/>
  <c r="O31" i="7"/>
  <c r="K32" i="7"/>
  <c r="O31" i="6"/>
  <c r="M31" i="6"/>
  <c r="H32" i="6"/>
  <c r="I32" i="6"/>
  <c r="J33" i="6" s="1"/>
  <c r="K32" i="6"/>
  <c r="L31" i="6"/>
  <c r="N31" i="7"/>
  <c r="N32" i="7"/>
  <c r="N32" i="6"/>
  <c r="I33" i="6" l="1"/>
  <c r="J34" i="6" s="1"/>
  <c r="H33" i="6"/>
  <c r="M32" i="6"/>
  <c r="K33" i="6"/>
  <c r="L32" i="6"/>
  <c r="O32" i="6"/>
  <c r="O32" i="7"/>
  <c r="K33" i="7"/>
  <c r="M32" i="7"/>
  <c r="H33" i="7"/>
  <c r="I33" i="7"/>
  <c r="J34" i="7" s="1"/>
  <c r="L32" i="7"/>
  <c r="O33" i="7" l="1"/>
  <c r="H34" i="7"/>
  <c r="M33" i="7"/>
  <c r="I34" i="7"/>
  <c r="J35" i="7" s="1"/>
  <c r="K34" i="7"/>
  <c r="L33" i="7"/>
  <c r="N34" i="7"/>
  <c r="N34" i="6"/>
  <c r="O33" i="6"/>
  <c r="H34" i="6"/>
  <c r="I34" i="6"/>
  <c r="J35" i="6" s="1"/>
  <c r="L33" i="6"/>
  <c r="K34" i="6"/>
  <c r="M33" i="6"/>
  <c r="N33" i="6"/>
  <c r="N33" i="7"/>
  <c r="I35" i="6" l="1"/>
  <c r="J36" i="6" s="1"/>
  <c r="H35" i="6"/>
  <c r="M34" i="6"/>
  <c r="L34" i="6"/>
  <c r="K35" i="6"/>
  <c r="O34" i="6"/>
  <c r="I35" i="7"/>
  <c r="J36" i="7" s="1"/>
  <c r="M34" i="7"/>
  <c r="K35" i="7"/>
  <c r="L34" i="7"/>
  <c r="O34" i="7"/>
  <c r="H35" i="7"/>
  <c r="I36" i="6" l="1"/>
  <c r="J37" i="6" s="1"/>
  <c r="O35" i="6"/>
  <c r="M35" i="6"/>
  <c r="H36" i="6"/>
  <c r="K36" i="6"/>
  <c r="L35" i="6"/>
  <c r="N36" i="6"/>
  <c r="N35" i="6"/>
  <c r="O35" i="7"/>
  <c r="L35" i="7"/>
  <c r="H36" i="7"/>
  <c r="I36" i="7"/>
  <c r="J37" i="7" s="1"/>
  <c r="M35" i="7"/>
  <c r="K36" i="7"/>
  <c r="N36" i="7"/>
  <c r="N35" i="7"/>
  <c r="I37" i="6" l="1"/>
  <c r="J38" i="6" s="1"/>
  <c r="H37" i="6"/>
  <c r="M36" i="6"/>
  <c r="K37" i="6"/>
  <c r="L36" i="6"/>
  <c r="O36" i="6"/>
  <c r="H37" i="7"/>
  <c r="N37" i="7" s="1"/>
  <c r="I37" i="7"/>
  <c r="J38" i="7" s="1"/>
  <c r="L36" i="7"/>
  <c r="O36" i="7"/>
  <c r="M36" i="7"/>
  <c r="K37" i="7"/>
  <c r="N37" i="6"/>
  <c r="H38" i="6" l="1"/>
  <c r="M37" i="6"/>
  <c r="I38" i="6"/>
  <c r="J39" i="6" s="1"/>
  <c r="O37" i="6"/>
  <c r="K38" i="6"/>
  <c r="L37" i="6"/>
  <c r="I38" i="7"/>
  <c r="J39" i="7" s="1"/>
  <c r="H38" i="7"/>
  <c r="M37" i="7"/>
  <c r="K38" i="7"/>
  <c r="O37" i="7"/>
  <c r="L37" i="7"/>
  <c r="N38" i="6"/>
  <c r="O38" i="7" l="1"/>
  <c r="I39" i="7"/>
  <c r="J40" i="7" s="1"/>
  <c r="M38" i="7"/>
  <c r="K39" i="7"/>
  <c r="L38" i="7"/>
  <c r="H39" i="7"/>
  <c r="N38" i="7"/>
  <c r="I39" i="6"/>
  <c r="J40" i="6" s="1"/>
  <c r="H39" i="6"/>
  <c r="M38" i="6"/>
  <c r="L38" i="6"/>
  <c r="K39" i="6"/>
  <c r="O38" i="6"/>
  <c r="M39" i="7" l="1"/>
  <c r="H40" i="7"/>
  <c r="I40" i="7"/>
  <c r="J41" i="7" s="1"/>
  <c r="O39" i="7"/>
  <c r="L39" i="7"/>
  <c r="K40" i="7"/>
  <c r="N40" i="7"/>
  <c r="H40" i="6"/>
  <c r="I40" i="6"/>
  <c r="J41" i="6" s="1"/>
  <c r="M39" i="6"/>
  <c r="O39" i="6"/>
  <c r="K40" i="6"/>
  <c r="L39" i="6"/>
  <c r="N40" i="6"/>
  <c r="N39" i="6"/>
  <c r="N39" i="7"/>
  <c r="I41" i="6" l="1"/>
  <c r="J42" i="6" s="1"/>
  <c r="M40" i="6"/>
  <c r="H41" i="6"/>
  <c r="L40" i="6"/>
  <c r="K41" i="6"/>
  <c r="O40" i="6"/>
  <c r="I41" i="7"/>
  <c r="J42" i="7" s="1"/>
  <c r="O40" i="7"/>
  <c r="H41" i="7"/>
  <c r="K41" i="7"/>
  <c r="L40" i="7"/>
  <c r="M40" i="7"/>
  <c r="O41" i="6" l="1"/>
  <c r="H42" i="6"/>
  <c r="I42" i="6"/>
  <c r="J43" i="6" s="1"/>
  <c r="L41" i="6"/>
  <c r="K42" i="6"/>
  <c r="M41" i="6"/>
  <c r="N41" i="7"/>
  <c r="N41" i="6"/>
  <c r="O41" i="7"/>
  <c r="M41" i="7"/>
  <c r="H42" i="7"/>
  <c r="K42" i="7"/>
  <c r="I42" i="7"/>
  <c r="J43" i="7" s="1"/>
  <c r="L41" i="7"/>
  <c r="N42" i="6"/>
  <c r="I43" i="7" l="1"/>
  <c r="J44" i="7" s="1"/>
  <c r="M42" i="7"/>
  <c r="K43" i="7"/>
  <c r="L42" i="7"/>
  <c r="O42" i="7"/>
  <c r="H43" i="7"/>
  <c r="I43" i="6"/>
  <c r="J44" i="6" s="1"/>
  <c r="M42" i="6"/>
  <c r="H43" i="6"/>
  <c r="L42" i="6"/>
  <c r="K43" i="6"/>
  <c r="O42" i="6"/>
  <c r="N42" i="7"/>
  <c r="N43" i="6" l="1"/>
  <c r="I44" i="7"/>
  <c r="J45" i="7" s="1"/>
  <c r="O43" i="7"/>
  <c r="H44" i="7"/>
  <c r="M43" i="7"/>
  <c r="L43" i="7"/>
  <c r="K44" i="7"/>
  <c r="N44" i="6"/>
  <c r="N43" i="7"/>
  <c r="O43" i="6"/>
  <c r="H44" i="6"/>
  <c r="I44" i="6"/>
  <c r="J45" i="6" s="1"/>
  <c r="M43" i="6"/>
  <c r="K44" i="6"/>
  <c r="L43" i="6"/>
  <c r="O44" i="7" l="1"/>
  <c r="H45" i="7"/>
  <c r="L44" i="7"/>
  <c r="I45" i="7"/>
  <c r="J46" i="7" s="1"/>
  <c r="M44" i="7"/>
  <c r="K45" i="7"/>
  <c r="N45" i="6"/>
  <c r="N45" i="7"/>
  <c r="N44" i="7"/>
  <c r="I45" i="6"/>
  <c r="J46" i="6" s="1"/>
  <c r="H45" i="6"/>
  <c r="M44" i="6"/>
  <c r="K45" i="6"/>
  <c r="L44" i="6"/>
  <c r="O44" i="6"/>
  <c r="O45" i="6" l="1"/>
  <c r="H46" i="6"/>
  <c r="I46" i="6"/>
  <c r="J47" i="6" s="1"/>
  <c r="M45" i="6"/>
  <c r="L45" i="6"/>
  <c r="K46" i="6"/>
  <c r="H46" i="7"/>
  <c r="N46" i="7" s="1"/>
  <c r="I46" i="7"/>
  <c r="J47" i="7" s="1"/>
  <c r="M45" i="7"/>
  <c r="O45" i="7"/>
  <c r="K46" i="7"/>
  <c r="L45" i="7"/>
  <c r="N46" i="6"/>
  <c r="O46" i="7" l="1"/>
  <c r="I47" i="7"/>
  <c r="J48" i="7" s="1"/>
  <c r="M46" i="7"/>
  <c r="K47" i="7"/>
  <c r="L46" i="7"/>
  <c r="H47" i="7"/>
  <c r="I47" i="6"/>
  <c r="J48" i="6" s="1"/>
  <c r="M46" i="6"/>
  <c r="H47" i="6"/>
  <c r="K47" i="6"/>
  <c r="L46" i="6"/>
  <c r="O46" i="6"/>
  <c r="M47" i="7" l="1"/>
  <c r="O47" i="7"/>
  <c r="H48" i="7"/>
  <c r="I48" i="7"/>
  <c r="J49" i="7" s="1"/>
  <c r="L47" i="7"/>
  <c r="K48" i="7"/>
  <c r="N47" i="7"/>
  <c r="O47" i="6"/>
  <c r="H48" i="6"/>
  <c r="I48" i="6"/>
  <c r="J49" i="6" s="1"/>
  <c r="M47" i="6"/>
  <c r="L47" i="6"/>
  <c r="K48" i="6"/>
  <c r="N47" i="6"/>
  <c r="H49" i="7" l="1"/>
  <c r="I49" i="7"/>
  <c r="J50" i="7" s="1"/>
  <c r="K49" i="7"/>
  <c r="O48" i="7"/>
  <c r="L48" i="7"/>
  <c r="M48" i="7"/>
  <c r="N49" i="7"/>
  <c r="N49" i="6"/>
  <c r="I49" i="6"/>
  <c r="J50" i="6" s="1"/>
  <c r="H49" i="6"/>
  <c r="M48" i="6"/>
  <c r="L48" i="6"/>
  <c r="K49" i="6"/>
  <c r="O48" i="6"/>
  <c r="N48" i="7"/>
  <c r="N48" i="6"/>
  <c r="O49" i="6" l="1"/>
  <c r="H50" i="6"/>
  <c r="I50" i="6"/>
  <c r="J51" i="6" s="1"/>
  <c r="L49" i="6"/>
  <c r="K50" i="6"/>
  <c r="M49" i="6"/>
  <c r="N50" i="6"/>
  <c r="H50" i="7"/>
  <c r="I50" i="7"/>
  <c r="J51" i="7" s="1"/>
  <c r="M49" i="7"/>
  <c r="K50" i="7"/>
  <c r="L49" i="7"/>
  <c r="O49" i="7"/>
  <c r="I51" i="6" l="1"/>
  <c r="J52" i="6" s="1"/>
  <c r="H51" i="6"/>
  <c r="M50" i="6"/>
  <c r="L50" i="6"/>
  <c r="K51" i="6"/>
  <c r="O50" i="6"/>
  <c r="N51" i="6"/>
  <c r="N51" i="7"/>
  <c r="O50" i="7"/>
  <c r="H51" i="7"/>
  <c r="K51" i="7"/>
  <c r="L50" i="7"/>
  <c r="I51" i="7"/>
  <c r="J52" i="7" s="1"/>
  <c r="M50" i="7"/>
  <c r="N50" i="7"/>
  <c r="O51" i="7" l="1"/>
  <c r="H52" i="7"/>
  <c r="L51" i="7"/>
  <c r="K52" i="7"/>
  <c r="I52" i="7"/>
  <c r="J53" i="7" s="1"/>
  <c r="M51" i="7"/>
  <c r="I52" i="6"/>
  <c r="J53" i="6" s="1"/>
  <c r="M51" i="6"/>
  <c r="O51" i="6"/>
  <c r="H52" i="6"/>
  <c r="K52" i="6"/>
  <c r="L51" i="6"/>
  <c r="N52" i="7"/>
  <c r="N52" i="6" l="1"/>
  <c r="I53" i="6"/>
  <c r="J54" i="6" s="1"/>
  <c r="H53" i="6"/>
  <c r="M52" i="6"/>
  <c r="K53" i="6"/>
  <c r="L52" i="6"/>
  <c r="O52" i="6"/>
  <c r="H53" i="7"/>
  <c r="I53" i="7"/>
  <c r="J54" i="7" s="1"/>
  <c r="M52" i="7"/>
  <c r="L52" i="7"/>
  <c r="K53" i="7"/>
  <c r="O52" i="7"/>
  <c r="H54" i="6" l="1"/>
  <c r="I54" i="6"/>
  <c r="J55" i="6" s="1"/>
  <c r="O53" i="6"/>
  <c r="M53" i="6"/>
  <c r="K54" i="6"/>
  <c r="L53" i="6"/>
  <c r="N54" i="6"/>
  <c r="N53" i="7"/>
  <c r="H54" i="7"/>
  <c r="I54" i="7"/>
  <c r="J55" i="7" s="1"/>
  <c r="O53" i="7"/>
  <c r="M53" i="7"/>
  <c r="K54" i="7"/>
  <c r="L53" i="7"/>
  <c r="N53" i="6"/>
  <c r="O54" i="7" l="1"/>
  <c r="M54" i="7"/>
  <c r="H55" i="7"/>
  <c r="I55" i="7"/>
  <c r="J56" i="7" s="1"/>
  <c r="K55" i="7"/>
  <c r="L54" i="7"/>
  <c r="N54" i="7"/>
  <c r="I55" i="6"/>
  <c r="J56" i="6" s="1"/>
  <c r="H55" i="6"/>
  <c r="M54" i="6"/>
  <c r="L54" i="6"/>
  <c r="K55" i="6"/>
  <c r="O54" i="6"/>
  <c r="M55" i="6" l="1"/>
  <c r="H56" i="6"/>
  <c r="I56" i="6"/>
  <c r="J57" i="6" s="1"/>
  <c r="O55" i="6"/>
  <c r="K56" i="6"/>
  <c r="L55" i="6"/>
  <c r="N55" i="6"/>
  <c r="M55" i="7"/>
  <c r="O55" i="7"/>
  <c r="H56" i="7"/>
  <c r="I56" i="7"/>
  <c r="J57" i="7" s="1"/>
  <c r="L55" i="7"/>
  <c r="K56" i="7"/>
  <c r="N56" i="6"/>
  <c r="N55" i="7"/>
  <c r="H57" i="7" l="1"/>
  <c r="I57" i="7"/>
  <c r="J58" i="7" s="1"/>
  <c r="K57" i="7"/>
  <c r="O56" i="7"/>
  <c r="M56" i="7"/>
  <c r="L56" i="7"/>
  <c r="I57" i="6"/>
  <c r="J58" i="6" s="1"/>
  <c r="H57" i="6"/>
  <c r="M56" i="6"/>
  <c r="L56" i="6"/>
  <c r="K57" i="6"/>
  <c r="O56" i="6"/>
  <c r="N57" i="7"/>
  <c r="N56" i="7"/>
  <c r="H58" i="7" l="1"/>
  <c r="I58" i="7"/>
  <c r="J59" i="7" s="1"/>
  <c r="M57" i="7"/>
  <c r="K58" i="7"/>
  <c r="L57" i="7"/>
  <c r="O57" i="7"/>
  <c r="O57" i="6"/>
  <c r="H58" i="6"/>
  <c r="I58" i="6"/>
  <c r="J59" i="6" s="1"/>
  <c r="L57" i="6"/>
  <c r="K58" i="6"/>
  <c r="M57" i="6"/>
  <c r="N57" i="6"/>
  <c r="O58" i="7" l="1"/>
  <c r="H59" i="7"/>
  <c r="I59" i="7"/>
  <c r="J60" i="7" s="1"/>
  <c r="K59" i="7"/>
  <c r="L58" i="7"/>
  <c r="M58" i="7"/>
  <c r="I59" i="6"/>
  <c r="J60" i="6" s="1"/>
  <c r="M58" i="6"/>
  <c r="H59" i="6"/>
  <c r="L58" i="6"/>
  <c r="K59" i="6"/>
  <c r="O58" i="6"/>
  <c r="N58" i="7"/>
  <c r="N58" i="6"/>
  <c r="O59" i="7" l="1"/>
  <c r="H60" i="7"/>
  <c r="L59" i="7"/>
  <c r="I60" i="7"/>
  <c r="J61" i="7" s="1"/>
  <c r="K60" i="7"/>
  <c r="M59" i="7"/>
  <c r="N59" i="6"/>
  <c r="O59" i="6"/>
  <c r="H60" i="6"/>
  <c r="M59" i="6"/>
  <c r="I60" i="6"/>
  <c r="J61" i="6" s="1"/>
  <c r="K60" i="6"/>
  <c r="L59" i="6"/>
  <c r="N59" i="7"/>
  <c r="I61" i="6" l="1"/>
  <c r="J62" i="6" s="1"/>
  <c r="H61" i="6"/>
  <c r="M60" i="6"/>
  <c r="K61" i="6"/>
  <c r="L60" i="6"/>
  <c r="O60" i="6"/>
  <c r="N60" i="6"/>
  <c r="H61" i="7"/>
  <c r="L60" i="7"/>
  <c r="K61" i="7"/>
  <c r="O60" i="7"/>
  <c r="M60" i="7"/>
  <c r="I61" i="7"/>
  <c r="J62" i="7" s="1"/>
  <c r="N60" i="7"/>
  <c r="O61" i="6" l="1"/>
  <c r="H62" i="6"/>
  <c r="I62" i="6"/>
  <c r="J63" i="6" s="1"/>
  <c r="M61" i="6"/>
  <c r="L61" i="6"/>
  <c r="K62" i="6"/>
  <c r="H62" i="7"/>
  <c r="N62" i="7" s="1"/>
  <c r="O61" i="7"/>
  <c r="I62" i="7"/>
  <c r="J63" i="7" s="1"/>
  <c r="K62" i="7"/>
  <c r="M61" i="7"/>
  <c r="L61" i="7"/>
  <c r="N62" i="6"/>
  <c r="N61" i="6"/>
  <c r="N61" i="7"/>
  <c r="M62" i="7" l="1"/>
  <c r="O62" i="7"/>
  <c r="H63" i="7"/>
  <c r="K63" i="7"/>
  <c r="L62" i="7"/>
  <c r="I63" i="7"/>
  <c r="J64" i="7" s="1"/>
  <c r="I63" i="6"/>
  <c r="J64" i="6" s="1"/>
  <c r="H63" i="6"/>
  <c r="M62" i="6"/>
  <c r="L62" i="6"/>
  <c r="K63" i="6"/>
  <c r="O62" i="6"/>
  <c r="N63" i="7" l="1"/>
  <c r="M63" i="7"/>
  <c r="H64" i="7"/>
  <c r="O63" i="7"/>
  <c r="I64" i="7"/>
  <c r="J65" i="7" s="1"/>
  <c r="L63" i="7"/>
  <c r="K64" i="7"/>
  <c r="O63" i="6"/>
  <c r="H64" i="6"/>
  <c r="I64" i="6"/>
  <c r="J65" i="6" s="1"/>
  <c r="M63" i="6"/>
  <c r="L63" i="6"/>
  <c r="K64" i="6"/>
  <c r="N63" i="6"/>
  <c r="H65" i="7" l="1"/>
  <c r="K65" i="7"/>
  <c r="M64" i="7"/>
  <c r="O64" i="7"/>
  <c r="L64" i="7"/>
  <c r="I65" i="7"/>
  <c r="J66" i="7" s="1"/>
  <c r="N64" i="7"/>
  <c r="I65" i="6"/>
  <c r="J66" i="6" s="1"/>
  <c r="M64" i="6"/>
  <c r="H65" i="6"/>
  <c r="K65" i="6"/>
  <c r="L64" i="6"/>
  <c r="O64" i="6"/>
  <c r="N64" i="6"/>
  <c r="N65" i="6" l="1"/>
  <c r="N65" i="7"/>
  <c r="O65" i="6"/>
  <c r="H66" i="6"/>
  <c r="I66" i="6"/>
  <c r="N66" i="6" s="1"/>
  <c r="N68" i="6" s="1"/>
  <c r="L65" i="6"/>
  <c r="K66" i="6"/>
  <c r="M65" i="6"/>
  <c r="H66" i="7"/>
  <c r="M65" i="7"/>
  <c r="K66" i="7"/>
  <c r="I66" i="7"/>
  <c r="N66" i="7" s="1"/>
  <c r="N68" i="7" s="1"/>
  <c r="L65" i="7"/>
  <c r="O65" i="7"/>
  <c r="M66" i="6" l="1"/>
  <c r="M68" i="6" s="1"/>
  <c r="L66" i="6"/>
  <c r="O66" i="6"/>
  <c r="O68" i="6" s="1"/>
  <c r="M66" i="7"/>
  <c r="M68" i="7" s="1"/>
  <c r="L66" i="7"/>
  <c r="O66" i="7"/>
  <c r="O68" i="7" s="1"/>
  <c r="E14" i="2" l="1"/>
  <c r="Q4" i="8"/>
  <c r="D15" i="2"/>
  <c r="T4" i="8"/>
  <c r="E15" i="2"/>
  <c r="E16" i="2" s="1"/>
  <c r="S4" i="8"/>
  <c r="U4" i="8" s="1"/>
  <c r="D14" i="2"/>
  <c r="R4" i="8"/>
  <c r="D16" i="2" l="1"/>
  <c r="D19" i="2" s="1"/>
  <c r="V4" i="8"/>
</calcChain>
</file>

<file path=xl/comments1.xml><?xml version="1.0" encoding="utf-8"?>
<comments xmlns="http://schemas.openxmlformats.org/spreadsheetml/2006/main">
  <authors>
    <author>Andrew Briggs</author>
  </authors>
  <commentList>
    <comment ref="L10" authorId="0" shapeId="0">
      <text>
        <r>
          <rPr>
            <b/>
            <sz val="8"/>
            <color indexed="81"/>
            <rFont val="Tahoma"/>
          </rPr>
          <t>Important:</t>
        </r>
        <r>
          <rPr>
            <sz val="8"/>
            <color indexed="81"/>
            <rFont val="Tahoma"/>
          </rPr>
          <t xml:space="preserve">
Remember to run the PSA each time the age/sex characteristics are changed</t>
        </r>
      </text>
    </comment>
  </commentList>
</comments>
</file>

<file path=xl/comments2.xml><?xml version="1.0" encoding="utf-8"?>
<comments xmlns="http://schemas.openxmlformats.org/spreadsheetml/2006/main">
  <authors>
    <author>Andrew Briggs</author>
  </authors>
  <commentList>
    <comment ref="B3" authorId="0" shapeId="0">
      <text>
        <r>
          <rPr>
            <sz val="8"/>
            <color indexed="81"/>
            <rFont val="Tahoma"/>
          </rPr>
          <t xml:space="preserve">Note that this is the cell that is linked to the 'form' on the &lt;Analysis&gt; sheet where male (returns value 1) or female (returns value 2) is chosen
</t>
        </r>
      </text>
    </comment>
    <comment ref="D3" authorId="0" shapeId="0">
      <text>
        <r>
          <rPr>
            <sz val="8"/>
            <color indexed="81"/>
            <rFont val="Tahoma"/>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E22" authorId="0" shapeId="0">
      <text>
        <r>
          <rPr>
            <b/>
            <sz val="8"/>
            <color indexed="81"/>
            <rFont val="Tahoma"/>
          </rPr>
          <t xml:space="preserve">Note:
</t>
        </r>
        <r>
          <rPr>
            <sz val="8"/>
            <color indexed="81"/>
            <rFont val="Tahoma"/>
            <family val="2"/>
          </rPr>
          <t>The standard errors are reported here for completeness, but simulations are generated from the &lt;Hazard function&gt; sheet where the covariance is taken into account</t>
        </r>
        <r>
          <rPr>
            <sz val="8"/>
            <color indexed="81"/>
            <rFont val="Tahoma"/>
          </rPr>
          <t xml:space="preserve">
</t>
        </r>
      </text>
    </comment>
    <comment ref="B32"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4"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3.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comments4.xml><?xml version="1.0" encoding="utf-8"?>
<comments xmlns="http://schemas.openxmlformats.org/spreadsheetml/2006/main">
  <authors>
    <author>Andrew Briggs</author>
  </authors>
  <commentList>
    <comment ref="B24" authorId="0" shapeId="0">
      <text>
        <r>
          <rPr>
            <b/>
            <sz val="8"/>
            <color indexed="81"/>
            <rFont val="Tahoma"/>
          </rPr>
          <t>Key to Cholesky decomposition matrix:</t>
        </r>
        <r>
          <rPr>
            <sz val="8"/>
            <color indexed="81"/>
            <rFont val="Tahoma"/>
          </rPr>
          <t xml:space="preserve">
Cells in the matrix are named:
</t>
        </r>
        <r>
          <rPr>
            <sz val="8"/>
            <color indexed="81"/>
            <rFont val="Courier"/>
            <family val="3"/>
          </rPr>
          <t xml:space="preserve">a
b  c_
d  e  f
g  h  i  j
k  l  m  n  o
</t>
        </r>
        <r>
          <rPr>
            <sz val="8"/>
            <color indexed="81"/>
            <rFont val="Tahoma"/>
            <family val="2"/>
          </rPr>
          <t>(Note the underscores for c_  since 
Excel reserves c as a system variable!)</t>
        </r>
      </text>
    </comment>
  </commentList>
</comments>
</file>

<file path=xl/comments5.xml><?xml version="1.0" encoding="utf-8"?>
<comments xmlns="http://schemas.openxmlformats.org/spreadsheetml/2006/main">
  <authors>
    <author>Andrew Briggs</author>
  </authors>
  <commentList>
    <comment ref="AK1" authorId="0" shapeId="0">
      <text>
        <r>
          <rPr>
            <sz val="8"/>
            <color indexed="81"/>
            <rFont val="Tahoma"/>
          </rPr>
          <t xml:space="preserve">Individual patient EVPI
</t>
        </r>
      </text>
    </comment>
    <comment ref="AP1" authorId="0" shapeId="0">
      <text>
        <r>
          <rPr>
            <sz val="8"/>
            <color indexed="81"/>
            <rFont val="Tahoma"/>
          </rPr>
          <t xml:space="preserve">Population EVPI (per patient EVPI multiplied by the effective population)
</t>
        </r>
      </text>
    </comment>
    <comment ref="AN4" authorId="0" shapeId="0">
      <text>
        <r>
          <rPr>
            <sz val="8"/>
            <color indexed="81"/>
            <rFont val="Tahoma"/>
            <family val="2"/>
          </rPr>
          <t>Effective population (population per annum discounted over the lifetime of the technology)</t>
        </r>
        <r>
          <rPr>
            <sz val="8"/>
            <color indexed="81"/>
            <rFont val="Tahoma"/>
          </rPr>
          <t xml:space="preserve">
</t>
        </r>
      </text>
    </comment>
  </commentList>
</comments>
</file>

<file path=xl/sharedStrings.xml><?xml version="1.0" encoding="utf-8"?>
<sst xmlns="http://schemas.openxmlformats.org/spreadsheetml/2006/main" count="283" uniqueCount="168">
  <si>
    <t>Diagrammatic representation of the Markov Model</t>
  </si>
  <si>
    <t>States of the model in the represented by the ovals, transitions between states represented by the arrows</t>
  </si>
  <si>
    <r>
      <t xml:space="preserve">All transisition probability variables shown in </t>
    </r>
    <r>
      <rPr>
        <b/>
        <sz val="10"/>
        <color indexed="56"/>
        <rFont val="Arial"/>
        <family val="2"/>
      </rPr>
      <t>blue</t>
    </r>
  </si>
  <si>
    <r>
      <t xml:space="preserve">State cost variables shown in </t>
    </r>
    <r>
      <rPr>
        <b/>
        <sz val="10"/>
        <color indexed="10"/>
        <rFont val="Arial"/>
      </rPr>
      <t>red</t>
    </r>
  </si>
  <si>
    <r>
      <t xml:space="preserve">State utility variables shown in </t>
    </r>
    <r>
      <rPr>
        <b/>
        <sz val="10"/>
        <color indexed="17"/>
        <rFont val="Arial"/>
      </rPr>
      <t>green</t>
    </r>
  </si>
  <si>
    <t>Note that parameters coloured green are endogenous</t>
  </si>
  <si>
    <t>and so cannot be varied in the sensitivity analysis</t>
  </si>
  <si>
    <t>age</t>
  </si>
  <si>
    <t>Average age of all patients at receipt of primary implant</t>
  </si>
  <si>
    <t>omrPTHR</t>
  </si>
  <si>
    <t>omrRTHR</t>
  </si>
  <si>
    <t>rrr</t>
  </si>
  <si>
    <t>cPrimary</t>
  </si>
  <si>
    <t>cRevision</t>
  </si>
  <si>
    <t>cSuccess</t>
  </si>
  <si>
    <t>Cost of one cycle in a 'success' state (primary or revision)</t>
  </si>
  <si>
    <t>Utility of Markov states per cycle</t>
  </si>
  <si>
    <t>cDR</t>
  </si>
  <si>
    <t>Cost discount rate</t>
  </si>
  <si>
    <t>oDR</t>
  </si>
  <si>
    <t>Outcome discount rate</t>
  </si>
  <si>
    <t>Cost</t>
  </si>
  <si>
    <t>QALYs</t>
  </si>
  <si>
    <t>Cycle</t>
  </si>
  <si>
    <t>Death risk</t>
  </si>
  <si>
    <t>PrimaryTHR</t>
  </si>
  <si>
    <t>SuccessP</t>
  </si>
  <si>
    <t>RevisionTHR</t>
  </si>
  <si>
    <t>SuccessR</t>
  </si>
  <si>
    <t>Death</t>
  </si>
  <si>
    <t>Life-years</t>
  </si>
  <si>
    <t>Note that parameters coloured red are linked to the</t>
  </si>
  <si>
    <t>All other parameters are left deterministic</t>
  </si>
  <si>
    <t>'live' value</t>
  </si>
  <si>
    <t>se</t>
  </si>
  <si>
    <t>alpha</t>
  </si>
  <si>
    <t>beta</t>
  </si>
  <si>
    <t>distribution</t>
  </si>
  <si>
    <t xml:space="preserve"> </t>
  </si>
  <si>
    <t>Gamma</t>
  </si>
  <si>
    <t>Description</t>
  </si>
  <si>
    <t>Trial</t>
  </si>
  <si>
    <t>STOCHASTIC PARAMETERS</t>
  </si>
  <si>
    <t>COST-EFFECTIVENESS RESULTS</t>
  </si>
  <si>
    <t>male</t>
  </si>
  <si>
    <t>explanatory variables</t>
  </si>
  <si>
    <t>hazard ratio</t>
  </si>
  <si>
    <t>coefficient</t>
  </si>
  <si>
    <t>z</t>
  </si>
  <si>
    <t>Covariance matrix</t>
  </si>
  <si>
    <t>ageC</t>
  </si>
  <si>
    <t>Cholesky decomposition</t>
  </si>
  <si>
    <t>Tz</t>
  </si>
  <si>
    <t>Random variables</t>
  </si>
  <si>
    <t>LogNormal</t>
  </si>
  <si>
    <t>uSuccessP</t>
  </si>
  <si>
    <t>uSuccessR</t>
  </si>
  <si>
    <t>uRevision</t>
  </si>
  <si>
    <t>Resource cost parameters</t>
  </si>
  <si>
    <t>cRatio</t>
  </si>
  <si>
    <t>35-44</t>
  </si>
  <si>
    <t>45-54</t>
  </si>
  <si>
    <t>55-64</t>
  </si>
  <si>
    <t>65-74</t>
  </si>
  <si>
    <t>75-84</t>
  </si>
  <si>
    <t>85 and over</t>
  </si>
  <si>
    <t>Males</t>
  </si>
  <si>
    <t>Females</t>
  </si>
  <si>
    <t>Cost of one cycle in the Revision THR state (national reference costs for revision hip or knee)</t>
  </si>
  <si>
    <t>Beta</t>
  </si>
  <si>
    <t>mu + Tz</t>
  </si>
  <si>
    <t>Utility score for having had a successful Primary THR</t>
  </si>
  <si>
    <t>Utility score for having a successful Revision THR</t>
  </si>
  <si>
    <t>Utility score during the revision period</t>
  </si>
  <si>
    <t>Age</t>
  </si>
  <si>
    <t>Death Rates (per 1000 population per year) by age and sex</t>
  </si>
  <si>
    <t>Yearly transition probabilities by age and sex</t>
  </si>
  <si>
    <t>Index</t>
  </si>
  <si>
    <t>Model for standard prosthesis</t>
  </si>
  <si>
    <t>Revision risk</t>
  </si>
  <si>
    <t>Standard Prosthesis</t>
  </si>
  <si>
    <t>deterministic</t>
  </si>
  <si>
    <t>Sex indicator (0 for female, 1 for male)</t>
  </si>
  <si>
    <t>Parameters</t>
  </si>
  <si>
    <r>
      <t xml:space="preserve">See </t>
    </r>
    <r>
      <rPr>
        <b/>
        <i/>
        <sz val="10"/>
        <rFont val="Arial"/>
      </rPr>
      <t>&lt;Parameters&gt;</t>
    </r>
    <r>
      <rPr>
        <sz val="10"/>
        <rFont val="Arial"/>
      </rPr>
      <t xml:space="preserve"> page for definitions</t>
    </r>
  </si>
  <si>
    <t>Operative mortality rate following primary THR</t>
  </si>
  <si>
    <t>Operative mortality rate following revision THR</t>
  </si>
  <si>
    <t>NP1</t>
  </si>
  <si>
    <t>NP2</t>
  </si>
  <si>
    <t>Relative risk of revision for new prosthesis 1 compared to standard</t>
  </si>
  <si>
    <t>Re-revision risk (assumed to be constant)</t>
  </si>
  <si>
    <t>rrNP1</t>
  </si>
  <si>
    <t>rrNP2</t>
  </si>
  <si>
    <t>maleC</t>
  </si>
  <si>
    <t>cons</t>
  </si>
  <si>
    <t>Constant in survival analysis for baseline hazard</t>
  </si>
  <si>
    <t>Age coefficient in survival analysis for baseline hazard</t>
  </si>
  <si>
    <t>Male coefficient in survival analysis for baseline hazard</t>
  </si>
  <si>
    <t>cNP1</t>
  </si>
  <si>
    <t>Cost of new prosthesis 1</t>
  </si>
  <si>
    <t>lngamma</t>
  </si>
  <si>
    <t>Modelling the hazard function for prosthesis failure</t>
  </si>
  <si>
    <t>Probabilistic?</t>
  </si>
  <si>
    <t>Check</t>
  </si>
  <si>
    <t>Cost of a primary THR procedure</t>
  </si>
  <si>
    <t>cStandard</t>
  </si>
  <si>
    <t>Cost of standard prosthesis</t>
  </si>
  <si>
    <t>Standard</t>
  </si>
  <si>
    <t>Net monetary benefits</t>
  </si>
  <si>
    <t>Cost-effective?</t>
  </si>
  <si>
    <t>Acceptability curves</t>
  </si>
  <si>
    <t>Step 1: Choose male or female</t>
  </si>
  <si>
    <t>Step 2: Enter age of patient</t>
  </si>
  <si>
    <t>Patient age</t>
  </si>
  <si>
    <t>(enter value between 40 and 90 years)</t>
  </si>
  <si>
    <t>Cost-effectiveness of Total Hip Replacement</t>
  </si>
  <si>
    <t>Prosthesis</t>
  </si>
  <si>
    <t>per QALY</t>
  </si>
  <si>
    <t>Results (probabilistic)</t>
  </si>
  <si>
    <t>Results (deterministic)</t>
  </si>
  <si>
    <t>ICERs:</t>
  </si>
  <si>
    <t>NP1vStd</t>
  </si>
  <si>
    <t>lambda</t>
  </si>
  <si>
    <t>Lambda parameter survival analysis (depends on chosen mix of above coefficients)</t>
  </si>
  <si>
    <t>gamma</t>
  </si>
  <si>
    <t>Weibull parameters</t>
  </si>
  <si>
    <t>Transition probabiliites</t>
  </si>
  <si>
    <t>STDcost</t>
  </si>
  <si>
    <t>STDlys</t>
  </si>
  <si>
    <t>STDqalys</t>
  </si>
  <si>
    <t>NP1cost</t>
  </si>
  <si>
    <t>NP1lys</t>
  </si>
  <si>
    <t>NP1qalys</t>
  </si>
  <si>
    <t>standard error</t>
  </si>
  <si>
    <t>probabilistic</t>
  </si>
  <si>
    <t>Ancilliary parameter in Weibull distribution</t>
  </si>
  <si>
    <r>
      <t xml:space="preserve">Revision rates for prostheses (see </t>
    </r>
    <r>
      <rPr>
        <b/>
        <i/>
        <sz val="10"/>
        <color indexed="18"/>
        <rFont val="Arial"/>
        <family val="2"/>
      </rPr>
      <t>&lt;Hazard function&gt;</t>
    </r>
    <r>
      <rPr>
        <i/>
        <sz val="10"/>
        <color indexed="18"/>
        <rFont val="Arial"/>
        <family val="2"/>
      </rPr>
      <t xml:space="preserve"> for details)</t>
    </r>
  </si>
  <si>
    <r>
      <t>Transition probability variables</t>
    </r>
    <r>
      <rPr>
        <sz val="10"/>
        <color indexed="18"/>
        <rFont val="Arial"/>
      </rPr>
      <t xml:space="preserve"> (see diagram on page </t>
    </r>
    <r>
      <rPr>
        <b/>
        <i/>
        <sz val="10"/>
        <color indexed="18"/>
        <rFont val="Arial"/>
      </rPr>
      <t>&lt;Model Figure&gt;</t>
    </r>
    <r>
      <rPr>
        <sz val="10"/>
        <color indexed="18"/>
        <rFont val="Arial"/>
      </rPr>
      <t xml:space="preserve"> for details)</t>
    </r>
  </si>
  <si>
    <t>Name</t>
  </si>
  <si>
    <t>Probabilistic Sensitivity Analysis only</t>
  </si>
  <si>
    <t>Model for first new prosthesis</t>
  </si>
  <si>
    <t>First New Prosthesis</t>
  </si>
  <si>
    <t>Correlation matrix</t>
  </si>
  <si>
    <t>probabilistic sensitivity analysis</t>
  </si>
  <si>
    <t>State costs</t>
  </si>
  <si>
    <t>Utilities for health states</t>
  </si>
  <si>
    <t>Incremental</t>
  </si>
  <si>
    <t>NP1(inc)</t>
  </si>
  <si>
    <t>difference</t>
  </si>
  <si>
    <t>EVPI</t>
  </si>
  <si>
    <t>Effective population</t>
  </si>
  <si>
    <t>per annum</t>
  </si>
  <si>
    <t>popEVPI</t>
  </si>
  <si>
    <t>year</t>
  </si>
  <si>
    <t>disc pop</t>
  </si>
  <si>
    <t>effpop</t>
  </si>
  <si>
    <t>popEVPI by ceiling ratio</t>
  </si>
  <si>
    <t>ESTABLISHING PARTIAL EVPI FOR PARAMETERS &amp; PARAMETER GROUPS</t>
  </si>
  <si>
    <t>Parameter (groups)</t>
  </si>
  <si>
    <t>OMRs</t>
  </si>
  <si>
    <t>Survival parameters</t>
  </si>
  <si>
    <t>Utilities</t>
  </si>
  <si>
    <t>RESULTS TABLE</t>
  </si>
  <si>
    <t>Re-revision risk</t>
  </si>
  <si>
    <t>NB NP1</t>
  </si>
  <si>
    <t>NB standard</t>
  </si>
  <si>
    <t>Partial EVPI</t>
  </si>
  <si>
    <t>EV with 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</si>
</sst>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9" formatCode="_-&quot;£&quot;* #,##0.00_-;\-&quot;£&quot;* #,##0.00_-;_-&quot;£&quot;* &quot;-&quot;??_-;_-@_-"/>
    <numFmt numFmtId="177" formatCode="&quot;£&quot;#,##0"/>
    <numFmt numFmtId="178" formatCode="0.000"/>
    <numFmt numFmtId="179" formatCode="0.0%"/>
    <numFmt numFmtId="183" formatCode="0.00000"/>
    <numFmt numFmtId="184" formatCode="0.0000"/>
    <numFmt numFmtId="186" formatCode="_-* #,##0_-;\-* #,##0_-;_-* &quot;-&quot;??_-;_-@_-"/>
    <numFmt numFmtId="189" formatCode="_-&quot;£&quot;* #,##0_-;\-&quot;£&quot;* #,##0_-;_-&quot;£&quot;* &quot;-&quot;??_-;_-@_-"/>
    <numFmt numFmtId="195" formatCode="_-* #,##0.0000_-;\-* #,##0.0000_-;_-* &quot;-&quot;??_-;_-@_-"/>
    <numFmt numFmtId="206" formatCode="0.00_ ;\-0.00\ "/>
  </numFmts>
  <fonts count="38" x14ac:knownFonts="1">
    <font>
      <sz val="10"/>
      <name val="Arial"/>
    </font>
    <font>
      <b/>
      <sz val="10"/>
      <name val="Arial"/>
    </font>
    <font>
      <b/>
      <i/>
      <sz val="10"/>
      <name val="Arial"/>
    </font>
    <font>
      <sz val="10"/>
      <name val="Arial"/>
    </font>
    <font>
      <b/>
      <sz val="12"/>
      <color indexed="18"/>
      <name val="Arial"/>
      <family val="2"/>
    </font>
    <font>
      <i/>
      <sz val="10"/>
      <color indexed="18"/>
      <name val="Arial"/>
      <family val="2"/>
    </font>
    <font>
      <sz val="10"/>
      <color indexed="18"/>
      <name val="Arial"/>
    </font>
    <font>
      <i/>
      <sz val="10"/>
      <color indexed="18"/>
      <name val="Arial"/>
    </font>
    <font>
      <b/>
      <sz val="10"/>
      <color indexed="18"/>
      <name val="Arial"/>
    </font>
    <font>
      <b/>
      <sz val="10"/>
      <color indexed="10"/>
      <name val="Arial"/>
    </font>
    <font>
      <b/>
      <sz val="10"/>
      <color indexed="17"/>
      <name val="Arial"/>
    </font>
    <font>
      <b/>
      <sz val="12"/>
      <color indexed="32"/>
      <name val="Arial"/>
      <family val="2"/>
    </font>
    <font>
      <b/>
      <sz val="10"/>
      <color indexed="32"/>
      <name val="Arial"/>
      <family val="2"/>
    </font>
    <font>
      <sz val="10"/>
      <color indexed="9"/>
      <name val="Arial"/>
    </font>
    <font>
      <sz val="10"/>
      <color indexed="19"/>
      <name val="Arial"/>
      <family val="2"/>
    </font>
    <font>
      <b/>
      <sz val="10"/>
      <color indexed="56"/>
      <name val="Arial"/>
      <family val="2"/>
    </font>
    <font>
      <b/>
      <sz val="10"/>
      <color indexed="18"/>
      <name val="Arial"/>
      <family val="2"/>
    </font>
    <font>
      <sz val="10"/>
      <color indexed="8"/>
      <name val="Arial"/>
      <family val="2"/>
    </font>
    <font>
      <b/>
      <i/>
      <sz val="10"/>
      <color indexed="18"/>
      <name val="Arial"/>
    </font>
    <font>
      <sz val="10"/>
      <color indexed="10"/>
      <name val="Arial"/>
      <family val="2"/>
    </font>
    <font>
      <sz val="10"/>
      <color indexed="16"/>
      <name val="Arial"/>
      <family val="2"/>
    </font>
    <font>
      <sz val="10"/>
      <color indexed="18"/>
      <name val="Arial"/>
      <family val="2"/>
    </font>
    <font>
      <b/>
      <sz val="10"/>
      <name val="Arial"/>
      <family val="2"/>
    </font>
    <font>
      <b/>
      <sz val="12"/>
      <name val="Arial"/>
      <family val="2"/>
    </font>
    <font>
      <b/>
      <sz val="10"/>
      <color indexed="9"/>
      <name val="Arial"/>
      <family val="2"/>
    </font>
    <font>
      <b/>
      <i/>
      <sz val="10"/>
      <color indexed="18"/>
      <name val="Arial"/>
      <family val="2"/>
    </font>
    <font>
      <sz val="10"/>
      <name val="Arial"/>
      <family val="2"/>
    </font>
    <font>
      <sz val="10"/>
      <color indexed="17"/>
      <name val="Arial"/>
      <family val="2"/>
    </font>
    <font>
      <sz val="10"/>
      <color indexed="22"/>
      <name val="Arial"/>
      <family val="2"/>
    </font>
    <font>
      <sz val="8"/>
      <name val="Tahoma"/>
      <family val="2"/>
    </font>
    <font>
      <sz val="8"/>
      <name val="Arial"/>
      <family val="2"/>
    </font>
    <font>
      <i/>
      <sz val="8"/>
      <name val="Arial"/>
      <family val="2"/>
    </font>
    <font>
      <sz val="8"/>
      <color indexed="81"/>
      <name val="Tahoma"/>
    </font>
    <font>
      <sz val="8"/>
      <color indexed="81"/>
      <name val="Tahoma"/>
      <family val="2"/>
    </font>
    <font>
      <b/>
      <sz val="10"/>
      <color indexed="16"/>
      <name val="Arial"/>
      <family val="2"/>
    </font>
    <font>
      <b/>
      <sz val="8"/>
      <color indexed="81"/>
      <name val="Tahoma"/>
    </font>
    <font>
      <sz val="8"/>
      <color indexed="81"/>
      <name val="Courier"/>
      <family val="3"/>
    </font>
    <font>
      <sz val="10"/>
      <color indexed="8"/>
      <name val="Arial"/>
    </font>
  </fonts>
  <fills count="12">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5">
    <xf numFmtId="0" fontId="0" fillId="0" borderId="0"/>
    <xf numFmtId="43" fontId="3" fillId="0" borderId="0" applyFont="0" applyFill="0" applyBorder="0" applyAlignment="0" applyProtection="0"/>
    <xf numFmtId="169" fontId="3" fillId="0" borderId="0" applyFont="0" applyFill="0" applyBorder="0" applyAlignment="0" applyProtection="0"/>
    <xf numFmtId="2" fontId="3" fillId="0" borderId="0" applyFont="0" applyFill="0" applyBorder="0" applyAlignment="0" applyProtection="0"/>
    <xf numFmtId="9" fontId="3" fillId="0" borderId="0" applyFont="0" applyFill="0" applyBorder="0" applyAlignment="0" applyProtection="0"/>
  </cellStyleXfs>
  <cellXfs count="146">
    <xf numFmtId="0" fontId="0" fillId="0" borderId="0" xfId="0"/>
    <xf numFmtId="0" fontId="0" fillId="0" borderId="0" xfId="0" applyBorder="1"/>
    <xf numFmtId="0" fontId="4" fillId="0" borderId="0" xfId="0" applyFont="1"/>
    <xf numFmtId="0" fontId="5" fillId="0" borderId="0" xfId="0" applyFont="1"/>
    <xf numFmtId="0" fontId="7" fillId="0" borderId="0" xfId="0" applyFont="1"/>
    <xf numFmtId="0" fontId="3" fillId="0" borderId="0" xfId="0" applyFont="1"/>
    <xf numFmtId="0" fontId="11" fillId="0" borderId="0" xfId="0" applyFont="1"/>
    <xf numFmtId="0" fontId="12" fillId="0" borderId="0" xfId="0" applyFont="1"/>
    <xf numFmtId="177" fontId="0" fillId="0" borderId="0" xfId="0" applyNumberFormat="1"/>
    <xf numFmtId="0" fontId="14" fillId="0" borderId="0" xfId="0" applyFont="1"/>
    <xf numFmtId="9" fontId="0" fillId="0" borderId="0" xfId="4" applyFont="1"/>
    <xf numFmtId="2" fontId="0" fillId="0" borderId="0" xfId="0" applyNumberFormat="1"/>
    <xf numFmtId="0" fontId="0" fillId="0" borderId="0" xfId="0" applyFill="1"/>
    <xf numFmtId="0" fontId="13" fillId="0" borderId="0" xfId="0" applyFont="1" applyFill="1" applyBorder="1"/>
    <xf numFmtId="0" fontId="13" fillId="0" borderId="0" xfId="0" applyFont="1" applyFill="1" applyBorder="1" applyAlignment="1">
      <alignment horizontal="center"/>
    </xf>
    <xf numFmtId="0" fontId="8" fillId="0" borderId="0" xfId="0" applyFont="1"/>
    <xf numFmtId="0" fontId="10" fillId="0" borderId="0" xfId="0" applyFont="1"/>
    <xf numFmtId="0" fontId="14" fillId="0" borderId="0" xfId="0" applyFont="1" applyBorder="1" applyAlignment="1">
      <alignment horizontal="centerContinuous"/>
    </xf>
    <xf numFmtId="0" fontId="0" fillId="0" borderId="0" xfId="0" applyFill="1" applyBorder="1" applyAlignment="1">
      <alignment horizontal="centerContinuous"/>
    </xf>
    <xf numFmtId="0" fontId="0" fillId="0" borderId="0" xfId="0" applyBorder="1" applyAlignment="1">
      <alignment horizontal="centerContinuous"/>
    </xf>
    <xf numFmtId="0" fontId="1" fillId="0" borderId="0" xfId="0" applyFont="1"/>
    <xf numFmtId="0" fontId="16" fillId="0" borderId="0" xfId="0" applyFont="1"/>
    <xf numFmtId="0" fontId="17" fillId="0" borderId="0" xfId="0" applyFont="1"/>
    <xf numFmtId="0" fontId="1" fillId="0" borderId="1" xfId="0" applyFont="1" applyBorder="1" applyAlignment="1">
      <alignment horizontal="centerContinuous"/>
    </xf>
    <xf numFmtId="0" fontId="0" fillId="0" borderId="1" xfId="0" applyBorder="1" applyAlignment="1">
      <alignment horizontal="centerContinuous"/>
    </xf>
    <xf numFmtId="186" fontId="0" fillId="0" borderId="0" xfId="1" applyNumberFormat="1" applyFont="1"/>
    <xf numFmtId="10" fontId="0" fillId="0" borderId="0" xfId="4" applyNumberFormat="1" applyFont="1"/>
    <xf numFmtId="10" fontId="1" fillId="0" borderId="0" xfId="4" applyNumberFormat="1" applyFont="1"/>
    <xf numFmtId="1" fontId="0" fillId="0" borderId="0" xfId="0" applyNumberFormat="1"/>
    <xf numFmtId="186" fontId="0" fillId="0" borderId="0" xfId="0" applyNumberFormat="1"/>
    <xf numFmtId="189" fontId="0" fillId="0" borderId="0" xfId="2" applyNumberFormat="1" applyFont="1"/>
    <xf numFmtId="0" fontId="0" fillId="0" borderId="0" xfId="0" applyFill="1" applyBorder="1"/>
    <xf numFmtId="9" fontId="10" fillId="0" borderId="0" xfId="1" applyNumberFormat="1" applyFont="1"/>
    <xf numFmtId="10" fontId="0" fillId="0" borderId="0" xfId="0" applyNumberFormat="1"/>
    <xf numFmtId="189" fontId="19" fillId="0" borderId="0" xfId="0" applyNumberFormat="1" applyFont="1" applyFill="1" applyBorder="1"/>
    <xf numFmtId="0" fontId="20" fillId="0" borderId="0" xfId="0" applyFont="1"/>
    <xf numFmtId="10" fontId="20" fillId="0" borderId="0" xfId="4" applyNumberFormat="1" applyFont="1"/>
    <xf numFmtId="189" fontId="20" fillId="0" borderId="0" xfId="2" applyNumberFormat="1" applyFont="1"/>
    <xf numFmtId="2" fontId="20" fillId="0" borderId="0" xfId="0" applyNumberFormat="1" applyFont="1"/>
    <xf numFmtId="1" fontId="20" fillId="0" borderId="0" xfId="0" applyNumberFormat="1" applyFont="1"/>
    <xf numFmtId="178" fontId="0" fillId="0" borderId="0" xfId="0" applyNumberFormat="1"/>
    <xf numFmtId="0" fontId="0" fillId="2" borderId="0" xfId="0" applyFill="1"/>
    <xf numFmtId="184" fontId="0" fillId="0" borderId="0" xfId="0" applyNumberFormat="1"/>
    <xf numFmtId="0" fontId="23" fillId="0" borderId="0" xfId="0" applyFont="1"/>
    <xf numFmtId="0" fontId="22" fillId="0" borderId="0" xfId="0" applyFont="1"/>
    <xf numFmtId="184" fontId="23" fillId="0" borderId="0" xfId="0" applyNumberFormat="1" applyFont="1"/>
    <xf numFmtId="11" fontId="0" fillId="0" borderId="0" xfId="0" applyNumberFormat="1"/>
    <xf numFmtId="10" fontId="0" fillId="0" borderId="0" xfId="4" applyNumberFormat="1" applyFont="1" applyBorder="1"/>
    <xf numFmtId="1" fontId="17" fillId="0" borderId="0" xfId="1" applyNumberFormat="1" applyFont="1"/>
    <xf numFmtId="195" fontId="0" fillId="0" borderId="0" xfId="1" applyNumberFormat="1" applyFont="1"/>
    <xf numFmtId="0" fontId="17" fillId="2" borderId="0" xfId="0" applyFont="1" applyFill="1"/>
    <xf numFmtId="43" fontId="20" fillId="0" borderId="0" xfId="4" applyNumberFormat="1" applyFont="1"/>
    <xf numFmtId="2" fontId="17" fillId="0" borderId="0" xfId="4" applyNumberFormat="1" applyFont="1"/>
    <xf numFmtId="2" fontId="17" fillId="0" borderId="0" xfId="0" applyNumberFormat="1" applyFont="1"/>
    <xf numFmtId="178" fontId="17" fillId="0" borderId="0" xfId="0" applyNumberFormat="1" applyFont="1"/>
    <xf numFmtId="2" fontId="5" fillId="0" borderId="0" xfId="0" applyNumberFormat="1" applyFont="1"/>
    <xf numFmtId="0" fontId="22" fillId="0" borderId="0" xfId="0" applyFont="1" applyAlignment="1">
      <alignment horizontal="center"/>
    </xf>
    <xf numFmtId="0" fontId="22" fillId="0" borderId="0" xfId="0" quotePrefix="1" applyFont="1" applyAlignment="1">
      <alignment horizontal="center"/>
    </xf>
    <xf numFmtId="0" fontId="0" fillId="0" borderId="0" xfId="0" applyAlignment="1">
      <alignment horizontal="right"/>
    </xf>
    <xf numFmtId="43" fontId="0" fillId="0" borderId="0" xfId="1" applyFont="1"/>
    <xf numFmtId="184" fontId="22" fillId="0" borderId="0" xfId="0" applyNumberFormat="1" applyFont="1"/>
    <xf numFmtId="0" fontId="26" fillId="0" borderId="0" xfId="0" applyFont="1"/>
    <xf numFmtId="179" fontId="0" fillId="0" borderId="0" xfId="4" applyNumberFormat="1" applyFont="1"/>
    <xf numFmtId="184" fontId="20" fillId="0" borderId="0" xfId="0" applyNumberFormat="1" applyFont="1"/>
    <xf numFmtId="184" fontId="27" fillId="0" borderId="0" xfId="0" applyNumberFormat="1" applyFont="1"/>
    <xf numFmtId="2" fontId="27" fillId="0" borderId="0" xfId="0" applyNumberFormat="1" applyFont="1"/>
    <xf numFmtId="0" fontId="27" fillId="0" borderId="0" xfId="0" applyFont="1"/>
    <xf numFmtId="0" fontId="20" fillId="0" borderId="0" xfId="0" applyFont="1" applyFill="1" applyBorder="1"/>
    <xf numFmtId="0" fontId="20" fillId="0" borderId="0" xfId="0" applyFont="1" applyFill="1" applyBorder="1" applyAlignment="1">
      <alignment horizontal="center"/>
    </xf>
    <xf numFmtId="0" fontId="20" fillId="0" borderId="0" xfId="0" applyFont="1" applyFill="1"/>
    <xf numFmtId="0" fontId="20" fillId="0" borderId="0" xfId="0" applyFont="1" applyBorder="1" applyAlignment="1">
      <alignment horizontal="centerContinuous"/>
    </xf>
    <xf numFmtId="0" fontId="20" fillId="0" borderId="0" xfId="0" applyFont="1" applyFill="1" applyBorder="1" applyAlignment="1">
      <alignment horizontal="centerContinuous"/>
    </xf>
    <xf numFmtId="0" fontId="20" fillId="0" borderId="0" xfId="0" applyFont="1" applyBorder="1"/>
    <xf numFmtId="0" fontId="27" fillId="0" borderId="0" xfId="0" applyFont="1" applyFill="1" applyBorder="1"/>
    <xf numFmtId="0" fontId="27" fillId="0" borderId="0" xfId="0" applyFont="1" applyFill="1" applyBorder="1" applyAlignment="1">
      <alignment horizontal="center"/>
    </xf>
    <xf numFmtId="0" fontId="27" fillId="0" borderId="0" xfId="0" applyFont="1" applyBorder="1"/>
    <xf numFmtId="183" fontId="0" fillId="0" borderId="0" xfId="0" applyNumberFormat="1"/>
    <xf numFmtId="43" fontId="17" fillId="0" borderId="0" xfId="1" applyFont="1"/>
    <xf numFmtId="206" fontId="0" fillId="0" borderId="0" xfId="1" applyNumberFormat="1" applyFont="1"/>
    <xf numFmtId="206" fontId="8" fillId="0" borderId="0" xfId="1" applyNumberFormat="1" applyFont="1"/>
    <xf numFmtId="0" fontId="22" fillId="0" borderId="0" xfId="0" applyFont="1" applyAlignment="1">
      <alignment horizontal="left"/>
    </xf>
    <xf numFmtId="0" fontId="22" fillId="0" borderId="0" xfId="0" applyFont="1" applyAlignment="1">
      <alignment horizontal="right"/>
    </xf>
    <xf numFmtId="10" fontId="1" fillId="0" borderId="0" xfId="4" applyNumberFormat="1" applyFont="1" applyAlignment="1">
      <alignment horizontal="center"/>
    </xf>
    <xf numFmtId="184" fontId="22" fillId="0" borderId="0" xfId="0" applyNumberFormat="1" applyFont="1" applyAlignment="1">
      <alignment horizontal="center"/>
    </xf>
    <xf numFmtId="189" fontId="26" fillId="0" borderId="0" xfId="2" applyNumberFormat="1" applyFont="1"/>
    <xf numFmtId="0" fontId="26" fillId="0" borderId="0" xfId="0" applyFont="1" applyFill="1" applyBorder="1"/>
    <xf numFmtId="0" fontId="26" fillId="0" borderId="0" xfId="0" applyFont="1" applyFill="1" applyBorder="1" applyAlignment="1">
      <alignment horizontal="center"/>
    </xf>
    <xf numFmtId="0" fontId="26" fillId="0" borderId="0" xfId="0" applyFont="1" applyBorder="1" applyAlignment="1">
      <alignment horizontal="centerContinuous"/>
    </xf>
    <xf numFmtId="0" fontId="26" fillId="0" borderId="0" xfId="0" applyFont="1" applyFill="1" applyBorder="1" applyAlignment="1">
      <alignment horizontal="centerContinuous"/>
    </xf>
    <xf numFmtId="0" fontId="28" fillId="2" borderId="0" xfId="0" applyFont="1" applyFill="1"/>
    <xf numFmtId="0" fontId="0" fillId="3" borderId="0" xfId="0" applyFill="1" applyBorder="1"/>
    <xf numFmtId="0" fontId="24" fillId="4" borderId="0" xfId="0" applyFont="1" applyFill="1" applyBorder="1"/>
    <xf numFmtId="0" fontId="0" fillId="4" borderId="0" xfId="0" applyFill="1" applyBorder="1"/>
    <xf numFmtId="0" fontId="0" fillId="5" borderId="0" xfId="0" applyFill="1" applyBorder="1"/>
    <xf numFmtId="0" fontId="0" fillId="6" borderId="2" xfId="0" applyFill="1" applyBorder="1"/>
    <xf numFmtId="0" fontId="30" fillId="5" borderId="0" xfId="0" applyFont="1" applyFill="1" applyBorder="1"/>
    <xf numFmtId="0" fontId="31" fillId="5" borderId="0" xfId="0" applyFont="1" applyFill="1" applyBorder="1"/>
    <xf numFmtId="0" fontId="24" fillId="7" borderId="0" xfId="0" applyFont="1" applyFill="1" applyBorder="1"/>
    <xf numFmtId="0" fontId="24" fillId="8" borderId="0" xfId="0" applyFont="1" applyFill="1" applyBorder="1"/>
    <xf numFmtId="0" fontId="0" fillId="8" borderId="0" xfId="0" applyFill="1" applyBorder="1"/>
    <xf numFmtId="0" fontId="0" fillId="9" borderId="0" xfId="0" applyFill="1" applyBorder="1"/>
    <xf numFmtId="189" fontId="0" fillId="9" borderId="0" xfId="2" applyNumberFormat="1" applyFont="1" applyFill="1" applyBorder="1" applyAlignment="1">
      <alignment horizontal="right"/>
    </xf>
    <xf numFmtId="2" fontId="0" fillId="9" borderId="0" xfId="0" applyNumberFormat="1" applyFill="1" applyBorder="1" applyAlignment="1">
      <alignment horizontal="right"/>
    </xf>
    <xf numFmtId="2" fontId="0" fillId="9" borderId="0" xfId="0" applyNumberFormat="1" applyFill="1" applyBorder="1"/>
    <xf numFmtId="0" fontId="0" fillId="9" borderId="0" xfId="0" applyFill="1" applyBorder="1" applyAlignment="1">
      <alignment horizontal="right"/>
    </xf>
    <xf numFmtId="189" fontId="0" fillId="9" borderId="0" xfId="2" applyNumberFormat="1" applyFont="1" applyFill="1" applyBorder="1"/>
    <xf numFmtId="2" fontId="21" fillId="0" borderId="0" xfId="0" applyNumberFormat="1" applyFont="1"/>
    <xf numFmtId="189" fontId="0" fillId="10" borderId="3" xfId="2" applyNumberFormat="1" applyFont="1" applyFill="1" applyBorder="1" applyAlignment="1">
      <alignment horizontal="right"/>
    </xf>
    <xf numFmtId="2" fontId="0" fillId="10" borderId="3" xfId="0" applyNumberFormat="1" applyFill="1" applyBorder="1" applyAlignment="1">
      <alignment horizontal="right"/>
    </xf>
    <xf numFmtId="0" fontId="24" fillId="7" borderId="4" xfId="0" applyFont="1" applyFill="1" applyBorder="1" applyAlignment="1">
      <alignment horizontal="left"/>
    </xf>
    <xf numFmtId="0" fontId="7" fillId="0" borderId="0" xfId="0" applyFont="1" applyAlignment="1">
      <alignment horizontal="center"/>
    </xf>
    <xf numFmtId="0" fontId="34" fillId="6" borderId="4" xfId="0" applyFont="1" applyFill="1" applyBorder="1" applyAlignment="1">
      <alignment horizontal="center"/>
    </xf>
    <xf numFmtId="0" fontId="0" fillId="0" borderId="0" xfId="0" applyAlignment="1">
      <alignment horizontal="center"/>
    </xf>
    <xf numFmtId="0" fontId="26" fillId="0" borderId="0" xfId="0" applyFont="1" applyAlignment="1">
      <alignment horizontal="center"/>
    </xf>
    <xf numFmtId="0" fontId="24" fillId="7" borderId="5" xfId="0" applyFont="1" applyFill="1" applyBorder="1" applyAlignment="1">
      <alignment horizontal="center"/>
    </xf>
    <xf numFmtId="0" fontId="10" fillId="0" borderId="0" xfId="0" applyFont="1" applyAlignment="1">
      <alignment horizontal="center"/>
    </xf>
    <xf numFmtId="9" fontId="10" fillId="0" borderId="0" xfId="1" applyNumberFormat="1" applyFont="1" applyAlignment="1">
      <alignment horizontal="center"/>
    </xf>
    <xf numFmtId="9" fontId="0" fillId="0" borderId="0" xfId="4" applyFont="1" applyAlignment="1">
      <alignment horizontal="center"/>
    </xf>
    <xf numFmtId="177" fontId="0" fillId="0" borderId="0" xfId="0" applyNumberFormat="1" applyAlignment="1">
      <alignment horizontal="center"/>
    </xf>
    <xf numFmtId="189" fontId="20" fillId="0" borderId="0" xfId="2" applyNumberFormat="1" applyFont="1" applyAlignment="1">
      <alignment horizontal="center"/>
    </xf>
    <xf numFmtId="189" fontId="26" fillId="0" borderId="0" xfId="2" applyNumberFormat="1" applyFont="1" applyAlignment="1">
      <alignment horizontal="center"/>
    </xf>
    <xf numFmtId="189" fontId="0" fillId="0" borderId="0" xfId="2" applyNumberFormat="1" applyFont="1" applyAlignment="1">
      <alignment horizontal="center"/>
    </xf>
    <xf numFmtId="2" fontId="20" fillId="10" borderId="3" xfId="0" applyNumberFormat="1" applyFont="1" applyFill="1" applyBorder="1" applyAlignment="1">
      <alignment horizontal="right"/>
    </xf>
    <xf numFmtId="2" fontId="20" fillId="10" borderId="3" xfId="0" applyNumberFormat="1" applyFont="1" applyFill="1" applyBorder="1" applyAlignment="1">
      <alignment horizontal="center"/>
    </xf>
    <xf numFmtId="2" fontId="20" fillId="0" borderId="0" xfId="0" applyNumberFormat="1" applyFont="1" applyAlignment="1">
      <alignment horizontal="center"/>
    </xf>
    <xf numFmtId="1" fontId="20" fillId="10" borderId="3" xfId="0" applyNumberFormat="1" applyFont="1" applyFill="1" applyBorder="1" applyAlignment="1">
      <alignment horizontal="right"/>
    </xf>
    <xf numFmtId="189" fontId="20" fillId="10" borderId="3" xfId="2" applyNumberFormat="1" applyFont="1" applyFill="1" applyBorder="1" applyAlignment="1">
      <alignment horizontal="right"/>
    </xf>
    <xf numFmtId="184" fontId="0" fillId="10" borderId="3" xfId="0" applyNumberFormat="1" applyFill="1" applyBorder="1"/>
    <xf numFmtId="189" fontId="0" fillId="10" borderId="3" xfId="0" applyNumberFormat="1" applyFill="1" applyBorder="1" applyAlignment="1">
      <alignment horizontal="right"/>
    </xf>
    <xf numFmtId="43" fontId="0" fillId="10" borderId="3" xfId="0" applyNumberFormat="1" applyFill="1" applyBorder="1" applyAlignment="1">
      <alignment horizontal="right"/>
    </xf>
    <xf numFmtId="186" fontId="0" fillId="10" borderId="3" xfId="1" applyNumberFormat="1" applyFont="1" applyFill="1" applyBorder="1"/>
    <xf numFmtId="189" fontId="0" fillId="10" borderId="3" xfId="2" applyNumberFormat="1" applyFont="1" applyFill="1" applyBorder="1"/>
    <xf numFmtId="186" fontId="0" fillId="10" borderId="3" xfId="0" applyNumberFormat="1" applyFill="1" applyBorder="1"/>
    <xf numFmtId="1" fontId="0" fillId="10" borderId="3" xfId="0" applyNumberFormat="1" applyFill="1" applyBorder="1"/>
    <xf numFmtId="10" fontId="0" fillId="10" borderId="3" xfId="4" applyNumberFormat="1" applyFont="1" applyFill="1" applyBorder="1"/>
    <xf numFmtId="43" fontId="0" fillId="10" borderId="3" xfId="1" applyFont="1" applyFill="1" applyBorder="1"/>
    <xf numFmtId="0" fontId="0" fillId="11" borderId="0" xfId="0" applyFill="1"/>
    <xf numFmtId="0" fontId="20" fillId="11" borderId="0" xfId="0" applyFont="1" applyFill="1" applyBorder="1" applyAlignment="1">
      <alignment horizontal="center"/>
    </xf>
    <xf numFmtId="0" fontId="26" fillId="11" borderId="0" xfId="0" applyFont="1" applyFill="1"/>
    <xf numFmtId="0" fontId="27" fillId="11" borderId="0" xfId="0" applyFont="1" applyFill="1" applyBorder="1" applyAlignment="1">
      <alignment horizontal="center"/>
    </xf>
    <xf numFmtId="0" fontId="17" fillId="11" borderId="0" xfId="0" applyFont="1" applyFill="1" applyBorder="1" applyAlignment="1">
      <alignment horizontal="center"/>
    </xf>
    <xf numFmtId="2" fontId="27" fillId="10" borderId="3" xfId="0" applyNumberFormat="1" applyFont="1" applyFill="1" applyBorder="1" applyAlignment="1">
      <alignment horizontal="right"/>
    </xf>
    <xf numFmtId="1" fontId="0" fillId="0" borderId="0" xfId="1" applyNumberFormat="1" applyFont="1"/>
    <xf numFmtId="178" fontId="20" fillId="10" borderId="3" xfId="0" applyNumberFormat="1" applyFont="1" applyFill="1" applyBorder="1" applyAlignment="1">
      <alignment horizontal="right"/>
    </xf>
    <xf numFmtId="1" fontId="17" fillId="0" borderId="0" xfId="0" applyNumberFormat="1" applyFont="1"/>
    <xf numFmtId="0" fontId="21" fillId="0" borderId="6" xfId="0" applyFont="1" applyBorder="1" applyAlignment="1">
      <alignment horizontal="center"/>
    </xf>
  </cellXfs>
  <cellStyles count="5">
    <cellStyle name="Comma" xfId="1" builtinId="3"/>
    <cellStyle name="Currency" xfId="2" builtinId="4"/>
    <cellStyle name="Fixed" xfId="3"/>
    <cellStyle name="Normal" xfId="0" builtinId="0"/>
    <cellStyle name="Per 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hartsheet" Target="chartsheets/sheet2.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793103448275863"/>
          <c:y val="0.12217194570135746"/>
          <c:w val="0.67724137931034478"/>
          <c:h val="0.68778280542986425"/>
        </c:manualLayout>
      </c:layout>
      <c:scatterChart>
        <c:scatterStyle val="lineMarker"/>
        <c:varyColors val="0"/>
        <c:ser>
          <c:idx val="0"/>
          <c:order val="0"/>
          <c:tx>
            <c:v>popEVPI</c:v>
          </c:tx>
          <c:spPr>
            <a:ln w="3175">
              <a:solidFill>
                <a:srgbClr val="000080"/>
              </a:solidFill>
              <a:prstDash val="solid"/>
            </a:ln>
          </c:spPr>
          <c:marker>
            <c:symbol val="none"/>
          </c:marker>
          <c:xVal>
            <c:numRef>
              <c:f>Simulation!$AP$6:$AP$63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Simulation!$AQ$6:$AQ$63</c:f>
              <c:numCache>
                <c:formatCode>0</c:formatCode>
                <c:ptCount val="58"/>
                <c:pt idx="0">
                  <c:v>276223.85061943566</c:v>
                </c:pt>
                <c:pt idx="1">
                  <c:v>325064.99487453641</c:v>
                </c:pt>
                <c:pt idx="2">
                  <c:v>386228.13013820193</c:v>
                </c:pt>
                <c:pt idx="3">
                  <c:v>454468.78633022908</c:v>
                </c:pt>
                <c:pt idx="4">
                  <c:v>545156.10069298232</c:v>
                </c:pt>
                <c:pt idx="5">
                  <c:v>663557.65300046967</c:v>
                </c:pt>
                <c:pt idx="6">
                  <c:v>833347.54446748213</c:v>
                </c:pt>
                <c:pt idx="7">
                  <c:v>1056763.0817250155</c:v>
                </c:pt>
                <c:pt idx="8">
                  <c:v>1325430.3510034105</c:v>
                </c:pt>
                <c:pt idx="9">
                  <c:v>1606833.7307691339</c:v>
                </c:pt>
                <c:pt idx="10">
                  <c:v>1954521.8493043266</c:v>
                </c:pt>
                <c:pt idx="11">
                  <c:v>4164242.2208420509</c:v>
                </c:pt>
                <c:pt idx="12">
                  <c:v>6726352.7722789152</c:v>
                </c:pt>
                <c:pt idx="13">
                  <c:v>3921894.1502942406</c:v>
                </c:pt>
                <c:pt idx="14">
                  <c:v>2295880.3853984959</c:v>
                </c:pt>
                <c:pt idx="15">
                  <c:v>1384344.4930687356</c:v>
                </c:pt>
                <c:pt idx="16">
                  <c:v>961858.67599855713</c:v>
                </c:pt>
                <c:pt idx="17">
                  <c:v>676942.1179045618</c:v>
                </c:pt>
                <c:pt idx="18">
                  <c:v>456714.33312491601</c:v>
                </c:pt>
                <c:pt idx="19">
                  <c:v>139029.0041303958</c:v>
                </c:pt>
                <c:pt idx="20">
                  <c:v>10534.050051395634</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numCache>
            </c:numRef>
          </c:yVal>
          <c:smooth val="1"/>
          <c:extLst>
            <c:ext xmlns:c16="http://schemas.microsoft.com/office/drawing/2014/chart" uri="{C3380CC4-5D6E-409C-BE32-E72D297353CC}">
              <c16:uniqueId val="{00000000-6E38-B546-ABD2-A507674CA477}"/>
            </c:ext>
          </c:extLst>
        </c:ser>
        <c:dLbls>
          <c:showLegendKey val="0"/>
          <c:showVal val="0"/>
          <c:showCatName val="0"/>
          <c:showSerName val="0"/>
          <c:showPercent val="0"/>
          <c:showBubbleSize val="0"/>
        </c:dLbls>
        <c:axId val="383262144"/>
        <c:axId val="1"/>
      </c:scatterChart>
      <c:valAx>
        <c:axId val="383262144"/>
        <c:scaling>
          <c:orientation val="minMax"/>
          <c:max val="50000"/>
        </c:scaling>
        <c:delete val="0"/>
        <c:axPos val="b"/>
        <c:title>
          <c:tx>
            <c:rich>
              <a:bodyPr/>
              <a:lstStyle/>
              <a:p>
                <a:pPr>
                  <a:defRPr sz="2000" b="1" i="0" u="none" strike="noStrike" baseline="0">
                    <a:solidFill>
                      <a:srgbClr val="000000"/>
                    </a:solidFill>
                    <a:latin typeface="Arial"/>
                    <a:ea typeface="Arial"/>
                    <a:cs typeface="Arial"/>
                  </a:defRPr>
                </a:pPr>
                <a:r>
                  <a:rPr lang="en-GB"/>
                  <a:t>Value of ceiling ratio</a:t>
                </a:r>
              </a:p>
            </c:rich>
          </c:tx>
          <c:layout>
            <c:manualLayout>
              <c:xMode val="edge"/>
              <c:yMode val="edge"/>
              <c:x val="0.41517241379310343"/>
              <c:y val="0.89140271493212675"/>
            </c:manualLayout>
          </c:layout>
          <c:overlay val="0"/>
          <c:spPr>
            <a:noFill/>
            <a:ln w="25400">
              <a:noFill/>
            </a:ln>
          </c:spPr>
        </c:title>
        <c:numFmt formatCode="_-&quot;£&quot;* #,##0_-;\-&quot;£&quot;* #,##0_-;_-&quot;£&quot;* &quot;-&quot;??_-;_-@_-"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DE"/>
          </a:p>
        </c:txPr>
        <c:crossAx val="1"/>
        <c:crosses val="autoZero"/>
        <c:crossBetween val="midCat"/>
        <c:majorUnit val="10000"/>
        <c:minorUnit val="1000"/>
      </c:valAx>
      <c:valAx>
        <c:axId val="1"/>
        <c:scaling>
          <c:orientation val="minMax"/>
          <c:min val="0"/>
        </c:scaling>
        <c:delete val="0"/>
        <c:axPos val="l"/>
        <c:title>
          <c:tx>
            <c:rich>
              <a:bodyPr/>
              <a:lstStyle/>
              <a:p>
                <a:pPr>
                  <a:defRPr sz="2000" b="1" i="0" u="none" strike="noStrike" baseline="0">
                    <a:solidFill>
                      <a:srgbClr val="000000"/>
                    </a:solidFill>
                    <a:latin typeface="Arial"/>
                    <a:ea typeface="Arial"/>
                    <a:cs typeface="Arial"/>
                  </a:defRPr>
                </a:pPr>
                <a:r>
                  <a:rPr lang="en-GB"/>
                  <a:t>Probability cost-effective</a:t>
                </a:r>
              </a:p>
            </c:rich>
          </c:tx>
          <c:layout>
            <c:manualLayout>
              <c:xMode val="edge"/>
              <c:yMode val="edge"/>
              <c:x val="1.6551724137931035E-2"/>
              <c:y val="0.18778280542986425"/>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DE"/>
          </a:p>
        </c:txPr>
        <c:crossAx val="383262144"/>
        <c:crosses val="autoZero"/>
        <c:crossBetween val="midCat"/>
      </c:valAx>
      <c:spPr>
        <a:noFill/>
        <a:ln w="25400">
          <a:noFill/>
        </a:ln>
      </c:spPr>
    </c:plotArea>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DE"/>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241379310344832E-2"/>
          <c:y val="3.6199095022624438E-2"/>
          <c:w val="0.91172413793103446"/>
          <c:h val="0.82126696832579182"/>
        </c:manualLayout>
      </c:layout>
      <c:barChart>
        <c:barDir val="col"/>
        <c:grouping val="clustered"/>
        <c:varyColors val="0"/>
        <c:ser>
          <c:idx val="0"/>
          <c:order val="0"/>
          <c:spPr>
            <a:solidFill>
              <a:srgbClr val="8080FF"/>
            </a:solidFill>
            <a:ln w="12700">
              <a:solidFill>
                <a:srgbClr val="000000"/>
              </a:solidFill>
              <a:prstDash val="solid"/>
            </a:ln>
          </c:spPr>
          <c:invertIfNegative val="0"/>
          <c:cat>
            <c:strRef>
              <c:f>Simulation!$AW$11:$AW$16</c:f>
              <c:strCache>
                <c:ptCount val="6"/>
                <c:pt idx="0">
                  <c:v>rrNP1</c:v>
                </c:pt>
                <c:pt idx="1">
                  <c:v>OMRs</c:v>
                </c:pt>
                <c:pt idx="2">
                  <c:v>Survival parameters</c:v>
                </c:pt>
                <c:pt idx="3">
                  <c:v>cRevision</c:v>
                </c:pt>
                <c:pt idx="4">
                  <c:v>Re-revision risk</c:v>
                </c:pt>
                <c:pt idx="5">
                  <c:v>Utilities</c:v>
                </c:pt>
              </c:strCache>
            </c:strRef>
          </c:cat>
          <c:val>
            <c:numRef>
              <c:f>Simulation!$AX$11:$AX$16</c:f>
              <c:numCache>
                <c:formatCode>0</c:formatCode>
                <c:ptCount val="6"/>
              </c:numCache>
            </c:numRef>
          </c:val>
          <c:extLst>
            <c:ext xmlns:c16="http://schemas.microsoft.com/office/drawing/2014/chart" uri="{C3380CC4-5D6E-409C-BE32-E72D297353CC}">
              <c16:uniqueId val="{00000000-8B14-8141-B125-BC9EBAE6C5A0}"/>
            </c:ext>
          </c:extLst>
        </c:ser>
        <c:dLbls>
          <c:showLegendKey val="0"/>
          <c:showVal val="0"/>
          <c:showCatName val="0"/>
          <c:showSerName val="0"/>
          <c:showPercent val="0"/>
          <c:showBubbleSize val="0"/>
        </c:dLbls>
        <c:gapWidth val="150"/>
        <c:axId val="396635744"/>
        <c:axId val="1"/>
      </c:barChart>
      <c:catAx>
        <c:axId val="396635744"/>
        <c:scaling>
          <c:orientation val="minMax"/>
        </c:scaling>
        <c:delete val="0"/>
        <c:axPos val="b"/>
        <c:title>
          <c:tx>
            <c:rich>
              <a:bodyPr/>
              <a:lstStyle/>
              <a:p>
                <a:pPr>
                  <a:defRPr sz="1800" b="1" i="0" u="none" strike="noStrike" baseline="0">
                    <a:solidFill>
                      <a:srgbClr val="000000"/>
                    </a:solidFill>
                    <a:latin typeface="Arial"/>
                    <a:ea typeface="Arial"/>
                    <a:cs typeface="Arial"/>
                  </a:defRPr>
                </a:pPr>
                <a:r>
                  <a:rPr lang="en-GB"/>
                  <a:t>(Groups of) parameter(s)</a:t>
                </a:r>
              </a:p>
            </c:rich>
          </c:tx>
          <c:layout>
            <c:manualLayout>
              <c:xMode val="edge"/>
              <c:yMode val="edge"/>
              <c:x val="0.3820689655172414"/>
              <c:y val="0.909502262443438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1800" b="1" i="0" u="none" strike="noStrike" baseline="0">
                    <a:solidFill>
                      <a:srgbClr val="000000"/>
                    </a:solidFill>
                    <a:latin typeface="Arial"/>
                    <a:ea typeface="Arial"/>
                    <a:cs typeface="Arial"/>
                  </a:defRPr>
                </a:pPr>
                <a:r>
                  <a:rPr lang="en-GB"/>
                  <a:t>Partial EVPI</a:t>
                </a:r>
              </a:p>
            </c:rich>
          </c:tx>
          <c:layout>
            <c:manualLayout>
              <c:xMode val="edge"/>
              <c:yMode val="edge"/>
              <c:x val="1.2413793103448275E-2"/>
              <c:y val="0.3257918552036199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396635744"/>
        <c:crosses val="autoZero"/>
        <c:crossBetween val="between"/>
      </c:valAx>
      <c:spPr>
        <a:solidFill>
          <a:srgbClr val="C0C0C0"/>
        </a:solidFill>
        <a:ln w="12700">
          <a:solidFill>
            <a:srgbClr val="808080"/>
          </a:solidFill>
          <a:prstDash val="solid"/>
        </a:ln>
      </c:spPr>
    </c:plotArea>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DE"/>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4"/>
  <sheetViews>
    <sheetView workbookViewId="0" zoomToFit="1"/>
  </sheetViews>
  <pageMargins left="0.75" right="0.75" top="1" bottom="1" header="0.5" footer="0.5"/>
  <pageSetup orientation="landscape"/>
  <headerFooter alignWithMargins="0"/>
  <drawing r:id="rId1"/>
</chartsheet>
</file>

<file path=xl/chartsheets/sheet2.xml><?xml version="1.0" encoding="utf-8"?>
<chartsheet xmlns="http://schemas.openxmlformats.org/spreadsheetml/2006/main" xmlns:r="http://schemas.openxmlformats.org/officeDocument/2006/relationships">
  <sheetPr codeName="Chart1"/>
  <sheetViews>
    <sheetView zoomScale="102" workbookViewId="0"/>
  </sheetViews>
  <pageMargins left="0.75" right="0.75" top="1" bottom="1" header="0.5" footer="0.5"/>
  <pageSetup paperSize="9" orientation="landscape"/>
  <headerFooter alignWithMargins="0"/>
  <drawing r:id="rId1"/>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Parameters!$B$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12700</xdr:rowOff>
    </xdr:from>
    <xdr:to>
      <xdr:col>3</xdr:col>
      <xdr:colOff>0</xdr:colOff>
      <xdr:row>4</xdr:row>
      <xdr:rowOff>0</xdr:rowOff>
    </xdr:to>
    <xdr:sp macro="" textlink="">
      <xdr:nvSpPr>
        <xdr:cNvPr id="1075" name="Text 51">
          <a:extLst>
            <a:ext uri="{FF2B5EF4-FFF2-40B4-BE49-F238E27FC236}">
              <a16:creationId xmlns:a16="http://schemas.microsoft.com/office/drawing/2014/main" id="{80811CC0-A81D-1C43-B0B0-F7B34E5EA821}"/>
            </a:ext>
          </a:extLst>
        </xdr:cNvPr>
        <xdr:cNvSpPr txBox="1">
          <a:spLocks noChangeArrowheads="1"/>
        </xdr:cNvSpPr>
      </xdr:nvSpPr>
      <xdr:spPr bwMode="auto">
        <a:xfrm>
          <a:off x="965200" y="546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cPrimary</a:t>
          </a:r>
        </a:p>
      </xdr:txBody>
    </xdr:sp>
    <xdr:clientData/>
  </xdr:twoCellAnchor>
  <xdr:twoCellAnchor>
    <xdr:from>
      <xdr:col>2</xdr:col>
      <xdr:colOff>12700</xdr:colOff>
      <xdr:row>4</xdr:row>
      <xdr:rowOff>12700</xdr:rowOff>
    </xdr:from>
    <xdr:to>
      <xdr:col>4</xdr:col>
      <xdr:colOff>647700</xdr:colOff>
      <xdr:row>7</xdr:row>
      <xdr:rowOff>12700</xdr:rowOff>
    </xdr:to>
    <xdr:sp macro="" textlink="">
      <xdr:nvSpPr>
        <xdr:cNvPr id="1084" name="Rectangle 60">
          <a:extLst>
            <a:ext uri="{FF2B5EF4-FFF2-40B4-BE49-F238E27FC236}">
              <a16:creationId xmlns:a16="http://schemas.microsoft.com/office/drawing/2014/main" id="{DC44A73D-4FC1-ED49-92A3-9C45ABCDD1E3}"/>
            </a:ext>
          </a:extLst>
        </xdr:cNvPr>
        <xdr:cNvSpPr>
          <a:spLocks noChangeArrowheads="1"/>
        </xdr:cNvSpPr>
      </xdr:nvSpPr>
      <xdr:spPr bwMode="auto">
        <a:xfrm>
          <a:off x="977900" y="711200"/>
          <a:ext cx="1981200" cy="495300"/>
        </a:xfrm>
        <a:prstGeom prst="roundRect">
          <a:avLst>
            <a:gd name="adj" fmla="val 16667"/>
          </a:avLst>
        </a:prstGeom>
        <a:solidFill>
          <a:srgbClr xmlns:mc="http://schemas.openxmlformats.org/markup-compatibility/2006" xmlns:a14="http://schemas.microsoft.com/office/drawing/2010/main" val="FFFFC0" mc:Ignorable="a14" a14:legacySpreadsheetColorIndex="26"/>
        </a:solid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5</xdr:col>
      <xdr:colOff>215900</xdr:colOff>
      <xdr:row>21</xdr:row>
      <xdr:rowOff>152400</xdr:rowOff>
    </xdr:from>
    <xdr:to>
      <xdr:col>6</xdr:col>
      <xdr:colOff>127000</xdr:colOff>
      <xdr:row>22</xdr:row>
      <xdr:rowOff>139700</xdr:rowOff>
    </xdr:to>
    <xdr:sp macro="" textlink="">
      <xdr:nvSpPr>
        <xdr:cNvPr id="1074" name="Text 50">
          <a:extLst>
            <a:ext uri="{FF2B5EF4-FFF2-40B4-BE49-F238E27FC236}">
              <a16:creationId xmlns:a16="http://schemas.microsoft.com/office/drawing/2014/main" id="{4991CF9B-0C30-AB41-8ABD-045EBCD78EE9}"/>
            </a:ext>
          </a:extLst>
        </xdr:cNvPr>
        <xdr:cNvSpPr txBox="1">
          <a:spLocks noChangeArrowheads="1"/>
        </xdr:cNvSpPr>
      </xdr:nvSpPr>
      <xdr:spPr bwMode="auto">
        <a:xfrm>
          <a:off x="3200400" y="3657600"/>
          <a:ext cx="584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RRR</a:t>
          </a:r>
        </a:p>
      </xdr:txBody>
    </xdr:sp>
    <xdr:clientData/>
  </xdr:twoCellAnchor>
  <xdr:twoCellAnchor>
    <xdr:from>
      <xdr:col>2</xdr:col>
      <xdr:colOff>0</xdr:colOff>
      <xdr:row>10</xdr:row>
      <xdr:rowOff>0</xdr:rowOff>
    </xdr:from>
    <xdr:to>
      <xdr:col>3</xdr:col>
      <xdr:colOff>0</xdr:colOff>
      <xdr:row>10</xdr:row>
      <xdr:rowOff>152400</xdr:rowOff>
    </xdr:to>
    <xdr:sp macro="" textlink="">
      <xdr:nvSpPr>
        <xdr:cNvPr id="1079" name="Text 55">
          <a:extLst>
            <a:ext uri="{FF2B5EF4-FFF2-40B4-BE49-F238E27FC236}">
              <a16:creationId xmlns:a16="http://schemas.microsoft.com/office/drawing/2014/main" id="{F699B4F9-2FF2-0347-A9D0-E8CD738CAAAE}"/>
            </a:ext>
          </a:extLst>
        </xdr:cNvPr>
        <xdr:cNvSpPr txBox="1">
          <a:spLocks noChangeArrowheads="1"/>
        </xdr:cNvSpPr>
      </xdr:nvSpPr>
      <xdr:spPr bwMode="auto">
        <a:xfrm>
          <a:off x="965200" y="1689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2</xdr:col>
      <xdr:colOff>0</xdr:colOff>
      <xdr:row>14</xdr:row>
      <xdr:rowOff>0</xdr:rowOff>
    </xdr:from>
    <xdr:to>
      <xdr:col>3</xdr:col>
      <xdr:colOff>0</xdr:colOff>
      <xdr:row>14</xdr:row>
      <xdr:rowOff>152400</xdr:rowOff>
    </xdr:to>
    <xdr:sp macro="" textlink="">
      <xdr:nvSpPr>
        <xdr:cNvPr id="1077" name="Text 53">
          <a:extLst>
            <a:ext uri="{FF2B5EF4-FFF2-40B4-BE49-F238E27FC236}">
              <a16:creationId xmlns:a16="http://schemas.microsoft.com/office/drawing/2014/main" id="{2CB47414-057B-6B49-B061-973BA48903D9}"/>
            </a:ext>
          </a:extLst>
        </xdr:cNvPr>
        <xdr:cNvSpPr txBox="1">
          <a:spLocks noChangeArrowheads="1"/>
        </xdr:cNvSpPr>
      </xdr:nvSpPr>
      <xdr:spPr bwMode="auto">
        <a:xfrm>
          <a:off x="965200" y="23495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uSuccessP</a:t>
          </a:r>
        </a:p>
      </xdr:txBody>
    </xdr:sp>
    <xdr:clientData/>
  </xdr:twoCellAnchor>
  <xdr:twoCellAnchor>
    <xdr:from>
      <xdr:col>8</xdr:col>
      <xdr:colOff>342900</xdr:colOff>
      <xdr:row>16</xdr:row>
      <xdr:rowOff>0</xdr:rowOff>
    </xdr:from>
    <xdr:to>
      <xdr:col>9</xdr:col>
      <xdr:colOff>127000</xdr:colOff>
      <xdr:row>16</xdr:row>
      <xdr:rowOff>152400</xdr:rowOff>
    </xdr:to>
    <xdr:sp macro="" textlink="">
      <xdr:nvSpPr>
        <xdr:cNvPr id="1073" name="Text 49">
          <a:extLst>
            <a:ext uri="{FF2B5EF4-FFF2-40B4-BE49-F238E27FC236}">
              <a16:creationId xmlns:a16="http://schemas.microsoft.com/office/drawing/2014/main" id="{7B2578D9-C891-DC45-A7D1-B44AAF0D9D29}"/>
            </a:ext>
          </a:extLst>
        </xdr:cNvPr>
        <xdr:cNvSpPr txBox="1">
          <a:spLocks noChangeArrowheads="1"/>
        </xdr:cNvSpPr>
      </xdr:nvSpPr>
      <xdr:spPr bwMode="auto">
        <a:xfrm>
          <a:off x="5346700" y="2679700"/>
          <a:ext cx="457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4</xdr:col>
      <xdr:colOff>609600</xdr:colOff>
      <xdr:row>18</xdr:row>
      <xdr:rowOff>101600</xdr:rowOff>
    </xdr:from>
    <xdr:to>
      <xdr:col>6</xdr:col>
      <xdr:colOff>571500</xdr:colOff>
      <xdr:row>19</xdr:row>
      <xdr:rowOff>101600</xdr:rowOff>
    </xdr:to>
    <xdr:sp macro="" textlink="">
      <xdr:nvSpPr>
        <xdr:cNvPr id="1072" name="Text 48">
          <a:extLst>
            <a:ext uri="{FF2B5EF4-FFF2-40B4-BE49-F238E27FC236}">
              <a16:creationId xmlns:a16="http://schemas.microsoft.com/office/drawing/2014/main" id="{6BAFA537-E1E4-C248-AF79-E7EFEAAB3B45}"/>
            </a:ext>
          </a:extLst>
        </xdr:cNvPr>
        <xdr:cNvSpPr txBox="1">
          <a:spLocks noChangeArrowheads="1"/>
        </xdr:cNvSpPr>
      </xdr:nvSpPr>
      <xdr:spPr bwMode="auto">
        <a:xfrm>
          <a:off x="2921000" y="3111500"/>
          <a:ext cx="13081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(omrRTHR + mr[age])</a:t>
          </a:r>
        </a:p>
      </xdr:txBody>
    </xdr:sp>
    <xdr:clientData/>
  </xdr:twoCellAnchor>
  <xdr:twoCellAnchor>
    <xdr:from>
      <xdr:col>5</xdr:col>
      <xdr:colOff>482600</xdr:colOff>
      <xdr:row>7</xdr:row>
      <xdr:rowOff>114300</xdr:rowOff>
    </xdr:from>
    <xdr:to>
      <xdr:col>6</xdr:col>
      <xdr:colOff>457200</xdr:colOff>
      <xdr:row>8</xdr:row>
      <xdr:rowOff>101600</xdr:rowOff>
    </xdr:to>
    <xdr:sp macro="" textlink="">
      <xdr:nvSpPr>
        <xdr:cNvPr id="1064" name="Text 40">
          <a:extLst>
            <a:ext uri="{FF2B5EF4-FFF2-40B4-BE49-F238E27FC236}">
              <a16:creationId xmlns:a16="http://schemas.microsoft.com/office/drawing/2014/main" id="{C60FB441-56DC-4E4E-B002-67E00381CDEA}"/>
            </a:ext>
          </a:extLst>
        </xdr:cNvPr>
        <xdr:cNvSpPr txBox="1">
          <a:spLocks noChangeArrowheads="1"/>
        </xdr:cNvSpPr>
      </xdr:nvSpPr>
      <xdr:spPr bwMode="auto">
        <a:xfrm>
          <a:off x="3467100" y="1308100"/>
          <a:ext cx="6477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omrPTHR </a:t>
          </a:r>
        </a:p>
      </xdr:txBody>
    </xdr:sp>
    <xdr:clientData/>
  </xdr:twoCellAnchor>
  <xdr:twoCellAnchor>
    <xdr:from>
      <xdr:col>3</xdr:col>
      <xdr:colOff>393700</xdr:colOff>
      <xdr:row>8</xdr:row>
      <xdr:rowOff>101600</xdr:rowOff>
    </xdr:from>
    <xdr:to>
      <xdr:col>4</xdr:col>
      <xdr:colOff>482600</xdr:colOff>
      <xdr:row>9</xdr:row>
      <xdr:rowOff>101600</xdr:rowOff>
    </xdr:to>
    <xdr:sp macro="" textlink="">
      <xdr:nvSpPr>
        <xdr:cNvPr id="1065" name="Text 41">
          <a:extLst>
            <a:ext uri="{FF2B5EF4-FFF2-40B4-BE49-F238E27FC236}">
              <a16:creationId xmlns:a16="http://schemas.microsoft.com/office/drawing/2014/main" id="{29BC5008-1F2A-404D-A208-F1B8FEDE2705}"/>
            </a:ext>
          </a:extLst>
        </xdr:cNvPr>
        <xdr:cNvSpPr txBox="1">
          <a:spLocks noChangeArrowheads="1"/>
        </xdr:cNvSpPr>
      </xdr:nvSpPr>
      <xdr:spPr bwMode="auto">
        <a:xfrm>
          <a:off x="2032000" y="1460500"/>
          <a:ext cx="7620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(omrPTHR)</a:t>
          </a:r>
        </a:p>
        <a:p>
          <a:pPr algn="ctr" rtl="0">
            <a:defRPr sz="1000"/>
          </a:pPr>
          <a:endParaRPr lang="en-GB" sz="800" b="0" i="0" u="none" strike="noStrike" baseline="0">
            <a:solidFill>
              <a:srgbClr val="3333CC"/>
            </a:solidFill>
            <a:latin typeface="Arial" pitchFamily="2" charset="0"/>
            <a:cs typeface="Arial" pitchFamily="2" charset="0"/>
          </a:endParaRPr>
        </a:p>
      </xdr:txBody>
    </xdr:sp>
    <xdr:clientData/>
  </xdr:twoCellAnchor>
  <xdr:twoCellAnchor>
    <xdr:from>
      <xdr:col>2</xdr:col>
      <xdr:colOff>0</xdr:colOff>
      <xdr:row>15</xdr:row>
      <xdr:rowOff>63500</xdr:rowOff>
    </xdr:from>
    <xdr:to>
      <xdr:col>3</xdr:col>
      <xdr:colOff>342900</xdr:colOff>
      <xdr:row>16</xdr:row>
      <xdr:rowOff>50800</xdr:rowOff>
    </xdr:to>
    <xdr:sp macro="" textlink="">
      <xdr:nvSpPr>
        <xdr:cNvPr id="1068" name="Text 44">
          <a:extLst>
            <a:ext uri="{FF2B5EF4-FFF2-40B4-BE49-F238E27FC236}">
              <a16:creationId xmlns:a16="http://schemas.microsoft.com/office/drawing/2014/main" id="{5EF1149C-D354-B546-B673-348243A953F4}"/>
            </a:ext>
          </a:extLst>
        </xdr:cNvPr>
        <xdr:cNvSpPr txBox="1">
          <a:spLocks noChangeArrowheads="1"/>
        </xdr:cNvSpPr>
      </xdr:nvSpPr>
      <xdr:spPr bwMode="auto">
        <a:xfrm>
          <a:off x="965200" y="2578100"/>
          <a:ext cx="10160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RR[age,sex,time]</a:t>
          </a:r>
        </a:p>
      </xdr:txBody>
    </xdr:sp>
    <xdr:clientData/>
  </xdr:twoCellAnchor>
  <xdr:twoCellAnchor>
    <xdr:from>
      <xdr:col>4</xdr:col>
      <xdr:colOff>165100</xdr:colOff>
      <xdr:row>15</xdr:row>
      <xdr:rowOff>0</xdr:rowOff>
    </xdr:from>
    <xdr:to>
      <xdr:col>6</xdr:col>
      <xdr:colOff>139700</xdr:colOff>
      <xdr:row>15</xdr:row>
      <xdr:rowOff>139700</xdr:rowOff>
    </xdr:to>
    <xdr:sp macro="" textlink="">
      <xdr:nvSpPr>
        <xdr:cNvPr id="1067" name="Text 43">
          <a:extLst>
            <a:ext uri="{FF2B5EF4-FFF2-40B4-BE49-F238E27FC236}">
              <a16:creationId xmlns:a16="http://schemas.microsoft.com/office/drawing/2014/main" id="{3E56124D-BDDF-C44F-8016-2984DCB39552}"/>
            </a:ext>
          </a:extLst>
        </xdr:cNvPr>
        <xdr:cNvSpPr txBox="1">
          <a:spLocks noChangeArrowheads="1"/>
        </xdr:cNvSpPr>
      </xdr:nvSpPr>
      <xdr:spPr bwMode="auto">
        <a:xfrm>
          <a:off x="2476500" y="2514600"/>
          <a:ext cx="1320800" cy="139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omrRTHR + mr[age]</a:t>
          </a:r>
        </a:p>
      </xdr:txBody>
    </xdr:sp>
    <xdr:clientData/>
  </xdr:twoCellAnchor>
  <xdr:twoCellAnchor>
    <xdr:from>
      <xdr:col>2</xdr:col>
      <xdr:colOff>317500</xdr:colOff>
      <xdr:row>4</xdr:row>
      <xdr:rowOff>139700</xdr:rowOff>
    </xdr:from>
    <xdr:to>
      <xdr:col>4</xdr:col>
      <xdr:colOff>292100</xdr:colOff>
      <xdr:row>6</xdr:row>
      <xdr:rowOff>38100</xdr:rowOff>
    </xdr:to>
    <xdr:sp macro="" textlink="">
      <xdr:nvSpPr>
        <xdr:cNvPr id="1028" name="Text 4">
          <a:extLst>
            <a:ext uri="{FF2B5EF4-FFF2-40B4-BE49-F238E27FC236}">
              <a16:creationId xmlns:a16="http://schemas.microsoft.com/office/drawing/2014/main" id="{8AB1DA80-FDB8-B641-BE65-1FB222ED3AD5}"/>
            </a:ext>
          </a:extLst>
        </xdr:cNvPr>
        <xdr:cNvSpPr txBox="1">
          <a:spLocks noChangeArrowheads="1"/>
        </xdr:cNvSpPr>
      </xdr:nvSpPr>
      <xdr:spPr bwMode="auto">
        <a:xfrm>
          <a:off x="1282700" y="838200"/>
          <a:ext cx="13208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Primary THR</a:t>
          </a:r>
        </a:p>
      </xdr:txBody>
    </xdr:sp>
    <xdr:clientData/>
  </xdr:twoCellAnchor>
  <xdr:twoCellAnchor>
    <xdr:from>
      <xdr:col>7</xdr:col>
      <xdr:colOff>12700</xdr:colOff>
      <xdr:row>11</xdr:row>
      <xdr:rowOff>0</xdr:rowOff>
    </xdr:from>
    <xdr:to>
      <xdr:col>10</xdr:col>
      <xdr:colOff>12700</xdr:colOff>
      <xdr:row>14</xdr:row>
      <xdr:rowOff>0</xdr:rowOff>
    </xdr:to>
    <xdr:sp macro="" textlink="">
      <xdr:nvSpPr>
        <xdr:cNvPr id="1041" name="Oval 17">
          <a:extLst>
            <a:ext uri="{FF2B5EF4-FFF2-40B4-BE49-F238E27FC236}">
              <a16:creationId xmlns:a16="http://schemas.microsoft.com/office/drawing/2014/main" id="{AA92856A-6265-7349-99F9-4139331F9BEC}"/>
            </a:ext>
          </a:extLst>
        </xdr:cNvPr>
        <xdr:cNvSpPr>
          <a:spLocks noChangeArrowheads="1"/>
        </xdr:cNvSpPr>
      </xdr:nvSpPr>
      <xdr:spPr bwMode="auto">
        <a:xfrm>
          <a:off x="43434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7</xdr:col>
      <xdr:colOff>0</xdr:colOff>
      <xdr:row>17</xdr:row>
      <xdr:rowOff>152400</xdr:rowOff>
    </xdr:from>
    <xdr:to>
      <xdr:col>10</xdr:col>
      <xdr:colOff>0</xdr:colOff>
      <xdr:row>20</xdr:row>
      <xdr:rowOff>152400</xdr:rowOff>
    </xdr:to>
    <xdr:sp macro="" textlink="">
      <xdr:nvSpPr>
        <xdr:cNvPr id="1042" name="Oval 18">
          <a:extLst>
            <a:ext uri="{FF2B5EF4-FFF2-40B4-BE49-F238E27FC236}">
              <a16:creationId xmlns:a16="http://schemas.microsoft.com/office/drawing/2014/main" id="{7C903EF0-3E91-6644-B1DC-77D79864CEAC}"/>
            </a:ext>
          </a:extLst>
        </xdr:cNvPr>
        <xdr:cNvSpPr>
          <a:spLocks noChangeArrowheads="1"/>
        </xdr:cNvSpPr>
      </xdr:nvSpPr>
      <xdr:spPr bwMode="auto">
        <a:xfrm>
          <a:off x="43307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17</xdr:row>
      <xdr:rowOff>152400</xdr:rowOff>
    </xdr:from>
    <xdr:to>
      <xdr:col>5</xdr:col>
      <xdr:colOff>0</xdr:colOff>
      <xdr:row>20</xdr:row>
      <xdr:rowOff>152400</xdr:rowOff>
    </xdr:to>
    <xdr:sp macro="" textlink="">
      <xdr:nvSpPr>
        <xdr:cNvPr id="1043" name="Oval 19">
          <a:extLst>
            <a:ext uri="{FF2B5EF4-FFF2-40B4-BE49-F238E27FC236}">
              <a16:creationId xmlns:a16="http://schemas.microsoft.com/office/drawing/2014/main" id="{4A8F20D8-EEF7-0947-AE4C-942E92094FF8}"/>
            </a:ext>
          </a:extLst>
        </xdr:cNvPr>
        <xdr:cNvSpPr>
          <a:spLocks noChangeArrowheads="1"/>
        </xdr:cNvSpPr>
      </xdr:nvSpPr>
      <xdr:spPr bwMode="auto">
        <a:xfrm>
          <a:off x="9652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11</xdr:row>
      <xdr:rowOff>0</xdr:rowOff>
    </xdr:from>
    <xdr:to>
      <xdr:col>5</xdr:col>
      <xdr:colOff>0</xdr:colOff>
      <xdr:row>14</xdr:row>
      <xdr:rowOff>0</xdr:rowOff>
    </xdr:to>
    <xdr:sp macro="" textlink="">
      <xdr:nvSpPr>
        <xdr:cNvPr id="1044" name="Oval 20">
          <a:extLst>
            <a:ext uri="{FF2B5EF4-FFF2-40B4-BE49-F238E27FC236}">
              <a16:creationId xmlns:a16="http://schemas.microsoft.com/office/drawing/2014/main" id="{4DBB38A5-9331-A34A-A90B-48C2CF3DD59B}"/>
            </a:ext>
          </a:extLst>
        </xdr:cNvPr>
        <xdr:cNvSpPr>
          <a:spLocks noChangeArrowheads="1"/>
        </xdr:cNvSpPr>
      </xdr:nvSpPr>
      <xdr:spPr bwMode="auto">
        <a:xfrm>
          <a:off x="9652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3</xdr:col>
      <xdr:colOff>317500</xdr:colOff>
      <xdr:row>7</xdr:row>
      <xdr:rowOff>12700</xdr:rowOff>
    </xdr:from>
    <xdr:to>
      <xdr:col>3</xdr:col>
      <xdr:colOff>317500</xdr:colOff>
      <xdr:row>11</xdr:row>
      <xdr:rowOff>0</xdr:rowOff>
    </xdr:to>
    <xdr:sp macro="" textlink="">
      <xdr:nvSpPr>
        <xdr:cNvPr id="1048" name="Line 24">
          <a:extLst>
            <a:ext uri="{FF2B5EF4-FFF2-40B4-BE49-F238E27FC236}">
              <a16:creationId xmlns:a16="http://schemas.microsoft.com/office/drawing/2014/main" id="{4153D7DF-EFD7-F84C-B581-234045D929D8}"/>
            </a:ext>
          </a:extLst>
        </xdr:cNvPr>
        <xdr:cNvSpPr>
          <a:spLocks noChangeShapeType="1"/>
        </xdr:cNvSpPr>
      </xdr:nvSpPr>
      <xdr:spPr bwMode="auto">
        <a:xfrm flipH="1">
          <a:off x="1955800" y="1206500"/>
          <a:ext cx="0" cy="6477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19</xdr:row>
      <xdr:rowOff>101600</xdr:rowOff>
    </xdr:from>
    <xdr:to>
      <xdr:col>6</xdr:col>
      <xdr:colOff>647700</xdr:colOff>
      <xdr:row>19</xdr:row>
      <xdr:rowOff>101600</xdr:rowOff>
    </xdr:to>
    <xdr:sp macro="" textlink="">
      <xdr:nvSpPr>
        <xdr:cNvPr id="1049" name="Line 25">
          <a:extLst>
            <a:ext uri="{FF2B5EF4-FFF2-40B4-BE49-F238E27FC236}">
              <a16:creationId xmlns:a16="http://schemas.microsoft.com/office/drawing/2014/main" id="{0A9DA869-9B78-BD43-B74E-157713EF041F}"/>
            </a:ext>
          </a:extLst>
        </xdr:cNvPr>
        <xdr:cNvSpPr>
          <a:spLocks noChangeShapeType="1"/>
        </xdr:cNvSpPr>
      </xdr:nvSpPr>
      <xdr:spPr bwMode="auto">
        <a:xfrm>
          <a:off x="2984500" y="3276600"/>
          <a:ext cx="13208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558800</xdr:colOff>
      <xdr:row>13</xdr:row>
      <xdr:rowOff>76200</xdr:rowOff>
    </xdr:from>
    <xdr:to>
      <xdr:col>7</xdr:col>
      <xdr:colOff>152400</xdr:colOff>
      <xdr:row>18</xdr:row>
      <xdr:rowOff>127000</xdr:rowOff>
    </xdr:to>
    <xdr:sp macro="" textlink="">
      <xdr:nvSpPr>
        <xdr:cNvPr id="1050" name="Line 26">
          <a:extLst>
            <a:ext uri="{FF2B5EF4-FFF2-40B4-BE49-F238E27FC236}">
              <a16:creationId xmlns:a16="http://schemas.microsoft.com/office/drawing/2014/main" id="{5E6435E4-1D33-834F-B6D1-95DBB369B9CF}"/>
            </a:ext>
          </a:extLst>
        </xdr:cNvPr>
        <xdr:cNvSpPr>
          <a:spLocks noChangeShapeType="1"/>
        </xdr:cNvSpPr>
      </xdr:nvSpPr>
      <xdr:spPr bwMode="auto">
        <a:xfrm flipV="1">
          <a:off x="2870200" y="2260600"/>
          <a:ext cx="1612900" cy="8763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609600</xdr:colOff>
      <xdr:row>6</xdr:row>
      <xdr:rowOff>139700</xdr:rowOff>
    </xdr:from>
    <xdr:to>
      <xdr:col>7</xdr:col>
      <xdr:colOff>165100</xdr:colOff>
      <xdr:row>11</xdr:row>
      <xdr:rowOff>101600</xdr:rowOff>
    </xdr:to>
    <xdr:sp macro="" textlink="">
      <xdr:nvSpPr>
        <xdr:cNvPr id="1051" name="Line 27">
          <a:extLst>
            <a:ext uri="{FF2B5EF4-FFF2-40B4-BE49-F238E27FC236}">
              <a16:creationId xmlns:a16="http://schemas.microsoft.com/office/drawing/2014/main" id="{293FA312-07C3-F94D-B6AE-49A77E97A575}"/>
            </a:ext>
          </a:extLst>
        </xdr:cNvPr>
        <xdr:cNvSpPr>
          <a:spLocks noChangeShapeType="1"/>
        </xdr:cNvSpPr>
      </xdr:nvSpPr>
      <xdr:spPr bwMode="auto">
        <a:xfrm>
          <a:off x="2921000" y="1168400"/>
          <a:ext cx="1574800" cy="7874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12</xdr:row>
      <xdr:rowOff>76200</xdr:rowOff>
    </xdr:from>
    <xdr:to>
      <xdr:col>6</xdr:col>
      <xdr:colOff>660400</xdr:colOff>
      <xdr:row>12</xdr:row>
      <xdr:rowOff>76200</xdr:rowOff>
    </xdr:to>
    <xdr:sp macro="" textlink="">
      <xdr:nvSpPr>
        <xdr:cNvPr id="1052" name="Line 28">
          <a:extLst>
            <a:ext uri="{FF2B5EF4-FFF2-40B4-BE49-F238E27FC236}">
              <a16:creationId xmlns:a16="http://schemas.microsoft.com/office/drawing/2014/main" id="{867CFFE6-3A55-954D-AF26-723D88F855E5}"/>
            </a:ext>
          </a:extLst>
        </xdr:cNvPr>
        <xdr:cNvSpPr>
          <a:spLocks noChangeShapeType="1"/>
        </xdr:cNvSpPr>
      </xdr:nvSpPr>
      <xdr:spPr bwMode="auto">
        <a:xfrm>
          <a:off x="2984500" y="2095500"/>
          <a:ext cx="1333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342900</xdr:colOff>
      <xdr:row>14</xdr:row>
      <xdr:rowOff>0</xdr:rowOff>
    </xdr:from>
    <xdr:to>
      <xdr:col>8</xdr:col>
      <xdr:colOff>342900</xdr:colOff>
      <xdr:row>17</xdr:row>
      <xdr:rowOff>139700</xdr:rowOff>
    </xdr:to>
    <xdr:sp macro="" textlink="">
      <xdr:nvSpPr>
        <xdr:cNvPr id="1053" name="Line 29">
          <a:extLst>
            <a:ext uri="{FF2B5EF4-FFF2-40B4-BE49-F238E27FC236}">
              <a16:creationId xmlns:a16="http://schemas.microsoft.com/office/drawing/2014/main" id="{BEBF0082-4582-744E-B920-C5DC7BD7B652}"/>
            </a:ext>
          </a:extLst>
        </xdr:cNvPr>
        <xdr:cNvSpPr>
          <a:spLocks noChangeShapeType="1"/>
        </xdr:cNvSpPr>
      </xdr:nvSpPr>
      <xdr:spPr bwMode="auto">
        <a:xfrm flipV="1">
          <a:off x="5346700" y="2349500"/>
          <a:ext cx="0" cy="6350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317500</xdr:colOff>
      <xdr:row>14</xdr:row>
      <xdr:rowOff>25400</xdr:rowOff>
    </xdr:from>
    <xdr:to>
      <xdr:col>3</xdr:col>
      <xdr:colOff>317500</xdr:colOff>
      <xdr:row>17</xdr:row>
      <xdr:rowOff>139700</xdr:rowOff>
    </xdr:to>
    <xdr:sp macro="" textlink="">
      <xdr:nvSpPr>
        <xdr:cNvPr id="1054" name="Line 30">
          <a:extLst>
            <a:ext uri="{FF2B5EF4-FFF2-40B4-BE49-F238E27FC236}">
              <a16:creationId xmlns:a16="http://schemas.microsoft.com/office/drawing/2014/main" id="{46CDF459-6988-434B-A48D-2E74CBE53C1E}"/>
            </a:ext>
          </a:extLst>
        </xdr:cNvPr>
        <xdr:cNvSpPr>
          <a:spLocks noChangeShapeType="1"/>
        </xdr:cNvSpPr>
      </xdr:nvSpPr>
      <xdr:spPr bwMode="auto">
        <a:xfrm>
          <a:off x="1955800" y="2374900"/>
          <a:ext cx="0" cy="6096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18</xdr:row>
      <xdr:rowOff>114300</xdr:rowOff>
    </xdr:from>
    <xdr:to>
      <xdr:col>4</xdr:col>
      <xdr:colOff>355600</xdr:colOff>
      <xdr:row>20</xdr:row>
      <xdr:rowOff>25400</xdr:rowOff>
    </xdr:to>
    <xdr:sp macro="" textlink="">
      <xdr:nvSpPr>
        <xdr:cNvPr id="1055" name="Text 31">
          <a:extLst>
            <a:ext uri="{FF2B5EF4-FFF2-40B4-BE49-F238E27FC236}">
              <a16:creationId xmlns:a16="http://schemas.microsoft.com/office/drawing/2014/main" id="{F65CC084-EF99-964C-B0C1-EC6B6B457ACE}"/>
            </a:ext>
          </a:extLst>
        </xdr:cNvPr>
        <xdr:cNvSpPr txBox="1">
          <a:spLocks noChangeArrowheads="1"/>
        </xdr:cNvSpPr>
      </xdr:nvSpPr>
      <xdr:spPr bwMode="auto">
        <a:xfrm>
          <a:off x="1346200" y="3124200"/>
          <a:ext cx="1320800" cy="2413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Revision THR</a:t>
          </a:r>
        </a:p>
      </xdr:txBody>
    </xdr:sp>
    <xdr:clientData/>
  </xdr:twoCellAnchor>
  <xdr:twoCellAnchor>
    <xdr:from>
      <xdr:col>2</xdr:col>
      <xdr:colOff>457200</xdr:colOff>
      <xdr:row>11</xdr:row>
      <xdr:rowOff>63500</xdr:rowOff>
    </xdr:from>
    <xdr:to>
      <xdr:col>4</xdr:col>
      <xdr:colOff>177800</xdr:colOff>
      <xdr:row>13</xdr:row>
      <xdr:rowOff>114300</xdr:rowOff>
    </xdr:to>
    <xdr:sp macro="" textlink="">
      <xdr:nvSpPr>
        <xdr:cNvPr id="1056" name="Text 32">
          <a:extLst>
            <a:ext uri="{FF2B5EF4-FFF2-40B4-BE49-F238E27FC236}">
              <a16:creationId xmlns:a16="http://schemas.microsoft.com/office/drawing/2014/main" id="{8333122F-C6C3-0548-AE10-81BB46F9FA5D}"/>
            </a:ext>
          </a:extLst>
        </xdr:cNvPr>
        <xdr:cNvSpPr txBox="1">
          <a:spLocks noChangeArrowheads="1"/>
        </xdr:cNvSpPr>
      </xdr:nvSpPr>
      <xdr:spPr bwMode="auto">
        <a:xfrm>
          <a:off x="1422400" y="1917700"/>
          <a:ext cx="10668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Primary</a:t>
          </a:r>
        </a:p>
      </xdr:txBody>
    </xdr:sp>
    <xdr:clientData/>
  </xdr:twoCellAnchor>
  <xdr:twoCellAnchor>
    <xdr:from>
      <xdr:col>7</xdr:col>
      <xdr:colOff>355600</xdr:colOff>
      <xdr:row>11</xdr:row>
      <xdr:rowOff>127000</xdr:rowOff>
    </xdr:from>
    <xdr:to>
      <xdr:col>9</xdr:col>
      <xdr:colOff>342900</xdr:colOff>
      <xdr:row>13</xdr:row>
      <xdr:rowOff>25400</xdr:rowOff>
    </xdr:to>
    <xdr:sp macro="" textlink="">
      <xdr:nvSpPr>
        <xdr:cNvPr id="1058" name="Text 34">
          <a:extLst>
            <a:ext uri="{FF2B5EF4-FFF2-40B4-BE49-F238E27FC236}">
              <a16:creationId xmlns:a16="http://schemas.microsoft.com/office/drawing/2014/main" id="{9CA59A94-96F8-6A4D-A8AA-7D9D5D8EFEC6}"/>
            </a:ext>
          </a:extLst>
        </xdr:cNvPr>
        <xdr:cNvSpPr txBox="1">
          <a:spLocks noChangeArrowheads="1"/>
        </xdr:cNvSpPr>
      </xdr:nvSpPr>
      <xdr:spPr bwMode="auto">
        <a:xfrm>
          <a:off x="4686300" y="1981200"/>
          <a:ext cx="13335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Death</a:t>
          </a:r>
        </a:p>
      </xdr:txBody>
    </xdr:sp>
    <xdr:clientData/>
  </xdr:twoCellAnchor>
  <xdr:twoCellAnchor>
    <xdr:from>
      <xdr:col>1</xdr:col>
      <xdr:colOff>0</xdr:colOff>
      <xdr:row>11</xdr:row>
      <xdr:rowOff>76200</xdr:rowOff>
    </xdr:from>
    <xdr:to>
      <xdr:col>2</xdr:col>
      <xdr:colOff>0</xdr:colOff>
      <xdr:row>13</xdr:row>
      <xdr:rowOff>76200</xdr:rowOff>
    </xdr:to>
    <xdr:sp macro="" textlink="">
      <xdr:nvSpPr>
        <xdr:cNvPr id="1060" name="Oval 36">
          <a:extLst>
            <a:ext uri="{FF2B5EF4-FFF2-40B4-BE49-F238E27FC236}">
              <a16:creationId xmlns:a16="http://schemas.microsoft.com/office/drawing/2014/main" id="{28D51A91-1633-174B-858C-85D8F26AC00D}"/>
            </a:ext>
          </a:extLst>
        </xdr:cNvPr>
        <xdr:cNvSpPr>
          <a:spLocks noChangeArrowheads="1"/>
        </xdr:cNvSpPr>
      </xdr:nvSpPr>
      <xdr:spPr bwMode="auto">
        <a:xfrm>
          <a:off x="292100" y="19304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635000</xdr:colOff>
      <xdr:row>12</xdr:row>
      <xdr:rowOff>0</xdr:rowOff>
    </xdr:from>
    <xdr:to>
      <xdr:col>2</xdr:col>
      <xdr:colOff>0</xdr:colOff>
      <xdr:row>12</xdr:row>
      <xdr:rowOff>38100</xdr:rowOff>
    </xdr:to>
    <xdr:sp macro="" textlink="">
      <xdr:nvSpPr>
        <xdr:cNvPr id="1061" name="Line 37">
          <a:extLst>
            <a:ext uri="{FF2B5EF4-FFF2-40B4-BE49-F238E27FC236}">
              <a16:creationId xmlns:a16="http://schemas.microsoft.com/office/drawing/2014/main" id="{FCE3E8A3-C2B1-DF4F-AAA7-A6326B70E5D9}"/>
            </a:ext>
          </a:extLst>
        </xdr:cNvPr>
        <xdr:cNvSpPr>
          <a:spLocks noChangeShapeType="1"/>
        </xdr:cNvSpPr>
      </xdr:nvSpPr>
      <xdr:spPr bwMode="auto">
        <a:xfrm>
          <a:off x="927100" y="201930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152400</xdr:rowOff>
    </xdr:from>
    <xdr:to>
      <xdr:col>10</xdr:col>
      <xdr:colOff>63500</xdr:colOff>
      <xdr:row>19</xdr:row>
      <xdr:rowOff>50800</xdr:rowOff>
    </xdr:to>
    <xdr:sp macro="" textlink="">
      <xdr:nvSpPr>
        <xdr:cNvPr id="1062" name="Line 38">
          <a:extLst>
            <a:ext uri="{FF2B5EF4-FFF2-40B4-BE49-F238E27FC236}">
              <a16:creationId xmlns:a16="http://schemas.microsoft.com/office/drawing/2014/main" id="{0EA7E89E-AB63-C14F-9DB1-7A21957F9576}"/>
            </a:ext>
          </a:extLst>
        </xdr:cNvPr>
        <xdr:cNvSpPr>
          <a:spLocks noChangeShapeType="1"/>
        </xdr:cNvSpPr>
      </xdr:nvSpPr>
      <xdr:spPr bwMode="auto">
        <a:xfrm flipH="1">
          <a:off x="6362700" y="3162300"/>
          <a:ext cx="50800" cy="635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76200</xdr:rowOff>
    </xdr:from>
    <xdr:to>
      <xdr:col>11</xdr:col>
      <xdr:colOff>12700</xdr:colOff>
      <xdr:row>20</xdr:row>
      <xdr:rowOff>76200</xdr:rowOff>
    </xdr:to>
    <xdr:sp macro="" textlink="">
      <xdr:nvSpPr>
        <xdr:cNvPr id="1063" name="Oval 39">
          <a:extLst>
            <a:ext uri="{FF2B5EF4-FFF2-40B4-BE49-F238E27FC236}">
              <a16:creationId xmlns:a16="http://schemas.microsoft.com/office/drawing/2014/main" id="{F65E8314-5C0A-3A46-B31B-19130BAFC476}"/>
            </a:ext>
          </a:extLst>
        </xdr:cNvPr>
        <xdr:cNvSpPr>
          <a:spLocks noChangeArrowheads="1"/>
        </xdr:cNvSpPr>
      </xdr:nvSpPr>
      <xdr:spPr bwMode="auto">
        <a:xfrm>
          <a:off x="6362700" y="30861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152400</xdr:colOff>
      <xdr:row>11</xdr:row>
      <xdr:rowOff>50800</xdr:rowOff>
    </xdr:from>
    <xdr:to>
      <xdr:col>6</xdr:col>
      <xdr:colOff>330200</xdr:colOff>
      <xdr:row>12</xdr:row>
      <xdr:rowOff>38100</xdr:rowOff>
    </xdr:to>
    <xdr:sp macro="" textlink="">
      <xdr:nvSpPr>
        <xdr:cNvPr id="1066" name="Text 42">
          <a:extLst>
            <a:ext uri="{FF2B5EF4-FFF2-40B4-BE49-F238E27FC236}">
              <a16:creationId xmlns:a16="http://schemas.microsoft.com/office/drawing/2014/main" id="{665043A9-0D89-044B-9547-D584790D1F42}"/>
            </a:ext>
          </a:extLst>
        </xdr:cNvPr>
        <xdr:cNvSpPr txBox="1">
          <a:spLocks noChangeArrowheads="1"/>
        </xdr:cNvSpPr>
      </xdr:nvSpPr>
      <xdr:spPr bwMode="auto">
        <a:xfrm>
          <a:off x="3136900" y="1905000"/>
          <a:ext cx="8509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3</xdr:col>
      <xdr:colOff>342900</xdr:colOff>
      <xdr:row>21</xdr:row>
      <xdr:rowOff>0</xdr:rowOff>
    </xdr:from>
    <xdr:to>
      <xdr:col>3</xdr:col>
      <xdr:colOff>342900</xdr:colOff>
      <xdr:row>23</xdr:row>
      <xdr:rowOff>0</xdr:rowOff>
    </xdr:to>
    <xdr:sp macro="" textlink="">
      <xdr:nvSpPr>
        <xdr:cNvPr id="1069" name="Line 45">
          <a:extLst>
            <a:ext uri="{FF2B5EF4-FFF2-40B4-BE49-F238E27FC236}">
              <a16:creationId xmlns:a16="http://schemas.microsoft.com/office/drawing/2014/main" id="{307F3820-C168-1247-8553-1C871E1E9221}"/>
            </a:ext>
          </a:extLst>
        </xdr:cNvPr>
        <xdr:cNvSpPr>
          <a:spLocks noChangeShapeType="1"/>
        </xdr:cNvSpPr>
      </xdr:nvSpPr>
      <xdr:spPr bwMode="auto">
        <a:xfrm flipH="1" flipV="1">
          <a:off x="19812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342900</xdr:colOff>
      <xdr:row>23</xdr:row>
      <xdr:rowOff>0</xdr:rowOff>
    </xdr:from>
    <xdr:to>
      <xdr:col>8</xdr:col>
      <xdr:colOff>342900</xdr:colOff>
      <xdr:row>23</xdr:row>
      <xdr:rowOff>0</xdr:rowOff>
    </xdr:to>
    <xdr:sp macro="" textlink="">
      <xdr:nvSpPr>
        <xdr:cNvPr id="1070" name="Line 46">
          <a:extLst>
            <a:ext uri="{FF2B5EF4-FFF2-40B4-BE49-F238E27FC236}">
              <a16:creationId xmlns:a16="http://schemas.microsoft.com/office/drawing/2014/main" id="{4F8A678A-B12E-F249-9AB3-478F32E9467E}"/>
            </a:ext>
          </a:extLst>
        </xdr:cNvPr>
        <xdr:cNvSpPr>
          <a:spLocks noChangeShapeType="1"/>
        </xdr:cNvSpPr>
      </xdr:nvSpPr>
      <xdr:spPr bwMode="auto">
        <a:xfrm flipV="1">
          <a:off x="1981200" y="3835400"/>
          <a:ext cx="3365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342900</xdr:colOff>
      <xdr:row>21</xdr:row>
      <xdr:rowOff>0</xdr:rowOff>
    </xdr:from>
    <xdr:to>
      <xdr:col>8</xdr:col>
      <xdr:colOff>342900</xdr:colOff>
      <xdr:row>23</xdr:row>
      <xdr:rowOff>0</xdr:rowOff>
    </xdr:to>
    <xdr:sp macro="" textlink="">
      <xdr:nvSpPr>
        <xdr:cNvPr id="1071" name="Line 47">
          <a:extLst>
            <a:ext uri="{FF2B5EF4-FFF2-40B4-BE49-F238E27FC236}">
              <a16:creationId xmlns:a16="http://schemas.microsoft.com/office/drawing/2014/main" id="{8F287BA6-F481-724C-9D5F-2FB2B295FFEB}"/>
            </a:ext>
          </a:extLst>
        </xdr:cNvPr>
        <xdr:cNvSpPr>
          <a:spLocks noChangeShapeType="1"/>
        </xdr:cNvSpPr>
      </xdr:nvSpPr>
      <xdr:spPr bwMode="auto">
        <a:xfrm flipV="1">
          <a:off x="53467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660400</xdr:colOff>
      <xdr:row>21</xdr:row>
      <xdr:rowOff>0</xdr:rowOff>
    </xdr:from>
    <xdr:to>
      <xdr:col>3</xdr:col>
      <xdr:colOff>0</xdr:colOff>
      <xdr:row>22</xdr:row>
      <xdr:rowOff>0</xdr:rowOff>
    </xdr:to>
    <xdr:sp macro="" textlink="">
      <xdr:nvSpPr>
        <xdr:cNvPr id="1080" name="Text 56">
          <a:extLst>
            <a:ext uri="{FF2B5EF4-FFF2-40B4-BE49-F238E27FC236}">
              <a16:creationId xmlns:a16="http://schemas.microsoft.com/office/drawing/2014/main" id="{AF3BCE8C-E93E-5241-BF5E-A2C1EA5ED7B2}"/>
            </a:ext>
          </a:extLst>
        </xdr:cNvPr>
        <xdr:cNvSpPr txBox="1">
          <a:spLocks noChangeArrowheads="1"/>
        </xdr:cNvSpPr>
      </xdr:nvSpPr>
      <xdr:spPr bwMode="auto">
        <a:xfrm>
          <a:off x="952500" y="3505200"/>
          <a:ext cx="6858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uRevision</a:t>
          </a:r>
        </a:p>
      </xdr:txBody>
    </xdr:sp>
    <xdr:clientData/>
  </xdr:twoCellAnchor>
  <xdr:twoCellAnchor>
    <xdr:from>
      <xdr:col>2</xdr:col>
      <xdr:colOff>0</xdr:colOff>
      <xdr:row>17</xdr:row>
      <xdr:rowOff>0</xdr:rowOff>
    </xdr:from>
    <xdr:to>
      <xdr:col>3</xdr:col>
      <xdr:colOff>0</xdr:colOff>
      <xdr:row>17</xdr:row>
      <xdr:rowOff>152400</xdr:rowOff>
    </xdr:to>
    <xdr:sp macro="" textlink="">
      <xdr:nvSpPr>
        <xdr:cNvPr id="1081" name="Text 57">
          <a:extLst>
            <a:ext uri="{FF2B5EF4-FFF2-40B4-BE49-F238E27FC236}">
              <a16:creationId xmlns:a16="http://schemas.microsoft.com/office/drawing/2014/main" id="{78BB0DF2-5A3B-E740-8600-A1D5C647ADA4}"/>
            </a:ext>
          </a:extLst>
        </xdr:cNvPr>
        <xdr:cNvSpPr txBox="1">
          <a:spLocks noChangeArrowheads="1"/>
        </xdr:cNvSpPr>
      </xdr:nvSpPr>
      <xdr:spPr bwMode="auto">
        <a:xfrm>
          <a:off x="9652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cRevision</a:t>
          </a:r>
        </a:p>
      </xdr:txBody>
    </xdr:sp>
    <xdr:clientData/>
  </xdr:twoCellAnchor>
  <xdr:twoCellAnchor>
    <xdr:from>
      <xdr:col>9</xdr:col>
      <xdr:colOff>0</xdr:colOff>
      <xdr:row>17</xdr:row>
      <xdr:rowOff>0</xdr:rowOff>
    </xdr:from>
    <xdr:to>
      <xdr:col>10</xdr:col>
      <xdr:colOff>0</xdr:colOff>
      <xdr:row>17</xdr:row>
      <xdr:rowOff>152400</xdr:rowOff>
    </xdr:to>
    <xdr:sp macro="" textlink="">
      <xdr:nvSpPr>
        <xdr:cNvPr id="1082" name="Text 58">
          <a:extLst>
            <a:ext uri="{FF2B5EF4-FFF2-40B4-BE49-F238E27FC236}">
              <a16:creationId xmlns:a16="http://schemas.microsoft.com/office/drawing/2014/main" id="{6479F13A-26BA-4C44-9916-963DDD68EBFA}"/>
            </a:ext>
          </a:extLst>
        </xdr:cNvPr>
        <xdr:cNvSpPr txBox="1">
          <a:spLocks noChangeArrowheads="1"/>
        </xdr:cNvSpPr>
      </xdr:nvSpPr>
      <xdr:spPr bwMode="auto">
        <a:xfrm>
          <a:off x="56769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9</xdr:col>
      <xdr:colOff>0</xdr:colOff>
      <xdr:row>21</xdr:row>
      <xdr:rowOff>0</xdr:rowOff>
    </xdr:from>
    <xdr:to>
      <xdr:col>10</xdr:col>
      <xdr:colOff>0</xdr:colOff>
      <xdr:row>21</xdr:row>
      <xdr:rowOff>152400</xdr:rowOff>
    </xdr:to>
    <xdr:sp macro="" textlink="">
      <xdr:nvSpPr>
        <xdr:cNvPr id="1083" name="Text 59">
          <a:extLst>
            <a:ext uri="{FF2B5EF4-FFF2-40B4-BE49-F238E27FC236}">
              <a16:creationId xmlns:a16="http://schemas.microsoft.com/office/drawing/2014/main" id="{8C3D05D5-ACF4-FE49-B2DD-1F90212FF645}"/>
            </a:ext>
          </a:extLst>
        </xdr:cNvPr>
        <xdr:cNvSpPr txBox="1">
          <a:spLocks noChangeArrowheads="1"/>
        </xdr:cNvSpPr>
      </xdr:nvSpPr>
      <xdr:spPr bwMode="auto">
        <a:xfrm>
          <a:off x="5676900" y="35052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008000"/>
              </a:solidFill>
              <a:latin typeface="Arial" pitchFamily="2" charset="0"/>
              <a:cs typeface="Arial" pitchFamily="2" charset="0"/>
            </a:rPr>
            <a:t>uSuccessR</a:t>
          </a:r>
        </a:p>
      </xdr:txBody>
    </xdr:sp>
    <xdr:clientData/>
  </xdr:twoCellAnchor>
  <xdr:twoCellAnchor>
    <xdr:from>
      <xdr:col>7</xdr:col>
      <xdr:colOff>495300</xdr:colOff>
      <xdr:row>18</xdr:row>
      <xdr:rowOff>38100</xdr:rowOff>
    </xdr:from>
    <xdr:to>
      <xdr:col>9</xdr:col>
      <xdr:colOff>152400</xdr:colOff>
      <xdr:row>20</xdr:row>
      <xdr:rowOff>88900</xdr:rowOff>
    </xdr:to>
    <xdr:sp macro="" textlink="">
      <xdr:nvSpPr>
        <xdr:cNvPr id="1057" name="Text 33">
          <a:extLst>
            <a:ext uri="{FF2B5EF4-FFF2-40B4-BE49-F238E27FC236}">
              <a16:creationId xmlns:a16="http://schemas.microsoft.com/office/drawing/2014/main" id="{49D00005-C130-C447-8A94-B7B2249FA392}"/>
            </a:ext>
          </a:extLst>
        </xdr:cNvPr>
        <xdr:cNvSpPr txBox="1">
          <a:spLocks noChangeArrowheads="1"/>
        </xdr:cNvSpPr>
      </xdr:nvSpPr>
      <xdr:spPr bwMode="auto">
        <a:xfrm>
          <a:off x="4826000" y="3048000"/>
          <a:ext cx="10033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Revision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4</xdr:row>
          <xdr:rowOff>25400</xdr:rowOff>
        </xdr:from>
        <xdr:to>
          <xdr:col>4</xdr:col>
          <xdr:colOff>393700</xdr:colOff>
          <xdr:row>7</xdr:row>
          <xdr:rowOff>88900</xdr:rowOff>
        </xdr:to>
        <xdr:sp macro="" textlink="">
          <xdr:nvSpPr>
            <xdr:cNvPr id="27649" name="Group Box 1" hidden="1">
              <a:extLst>
                <a:ext uri="{63B3BB69-23CF-44E3-9099-C40C66FF867C}">
                  <a14:compatExt spid="_x0000_s27649"/>
                </a:ext>
                <a:ext uri="{FF2B5EF4-FFF2-40B4-BE49-F238E27FC236}">
                  <a16:creationId xmlns:a16="http://schemas.microsoft.com/office/drawing/2014/main" id="{404982D5-17E4-1044-B3B9-2CEFA6D6C6FA}"/>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4</xdr:row>
          <xdr:rowOff>63500</xdr:rowOff>
        </xdr:from>
        <xdr:to>
          <xdr:col>3</xdr:col>
          <xdr:colOff>431800</xdr:colOff>
          <xdr:row>5</xdr:row>
          <xdr:rowOff>114300</xdr:rowOff>
        </xdr:to>
        <xdr:sp macro="" textlink="">
          <xdr:nvSpPr>
            <xdr:cNvPr id="27650" name="Option Button 2" hidden="1">
              <a:extLst>
                <a:ext uri="{63B3BB69-23CF-44E3-9099-C40C66FF867C}">
                  <a14:compatExt spid="_x0000_s27650"/>
                </a:ext>
                <a:ext uri="{FF2B5EF4-FFF2-40B4-BE49-F238E27FC236}">
                  <a16:creationId xmlns:a16="http://schemas.microsoft.com/office/drawing/2014/main" id="{BC23C48D-7C44-DA4F-8CE4-1C9962C1DA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5</xdr:row>
          <xdr:rowOff>139700</xdr:rowOff>
        </xdr:from>
        <xdr:to>
          <xdr:col>3</xdr:col>
          <xdr:colOff>431800</xdr:colOff>
          <xdr:row>7</xdr:row>
          <xdr:rowOff>25400</xdr:rowOff>
        </xdr:to>
        <xdr:sp macro="" textlink="">
          <xdr:nvSpPr>
            <xdr:cNvPr id="27651" name="Option Button 3" hidden="1">
              <a:extLst>
                <a:ext uri="{63B3BB69-23CF-44E3-9099-C40C66FF867C}">
                  <a14:compatExt spid="_x0000_s27651"/>
                </a:ext>
                <a:ext uri="{FF2B5EF4-FFF2-40B4-BE49-F238E27FC236}">
                  <a16:creationId xmlns:a16="http://schemas.microsoft.com/office/drawing/2014/main" id="{BFF03DA7-2D5E-154D-92CB-33357EEC4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Female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558800</xdr:colOff>
          <xdr:row>9</xdr:row>
          <xdr:rowOff>50800</xdr:rowOff>
        </xdr:from>
        <xdr:to>
          <xdr:col>11</xdr:col>
          <xdr:colOff>533400</xdr:colOff>
          <xdr:row>10</xdr:row>
          <xdr:rowOff>127000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ACA4EF83-654F-2344-B531-2FB3EF7230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charset="0"/>
                  <a:cs typeface="Arial" charset="0"/>
                </a:rPr>
                <a:t>Run PSA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00E897A6-EECF-FD4C-B7C9-F6C5E31DD96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0.48225</cdr:x>
      <cdr:y>0.53625</cdr:y>
    </cdr:from>
    <cdr:to>
      <cdr:x>0.4915</cdr:x>
      <cdr:y>0.568</cdr:y>
    </cdr:to>
    <cdr:sp macro="" textlink="">
      <cdr:nvSpPr>
        <cdr:cNvPr id="67585" name="Text Box 1">
          <a:extLst xmlns:a="http://schemas.openxmlformats.org/drawingml/2006/main">
            <a:ext uri="{FF2B5EF4-FFF2-40B4-BE49-F238E27FC236}">
              <a16:creationId xmlns:a16="http://schemas.microsoft.com/office/drawing/2014/main" id="{E38A8822-7FC9-884C-B3E5-9F1171BAB725}"/>
            </a:ext>
          </a:extLst>
        </cdr:cNvPr>
        <cdr:cNvSpPr txBox="1">
          <a:spLocks xmlns:a="http://schemas.openxmlformats.org/drawingml/2006/main" noChangeArrowheads="1"/>
        </cdr:cNvSpPr>
      </cdr:nvSpPr>
      <cdr:spPr bwMode="auto">
        <a:xfrm xmlns:a="http://schemas.openxmlformats.org/drawingml/2006/main">
          <a:off x="4440317" y="3010186"/>
          <a:ext cx="85169" cy="17822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en-GB" sz="1000" b="0" i="0" u="none" strike="noStrike" baseline="0">
              <a:solidFill>
                <a:srgbClr val="000000"/>
              </a:solidFill>
              <a:latin typeface="Arial" charset="0"/>
              <a:cs typeface="Arial" charset="0"/>
            </a:rPr>
            <a:t>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F01F7D35-60C5-074B-BCE5-9BE74F5C8EE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5"/>
  <sheetViews>
    <sheetView zoomScale="156" workbookViewId="0">
      <selection activeCell="B3" sqref="B3"/>
    </sheetView>
  </sheetViews>
  <sheetFormatPr baseColWidth="10" defaultRowHeight="13" x14ac:dyDescent="0.15"/>
  <cols>
    <col min="1" max="1" width="3.83203125" customWidth="1"/>
    <col min="2" max="11" width="8.83203125" customWidth="1"/>
    <col min="12" max="12" width="4.33203125" customWidth="1"/>
    <col min="13" max="256" width="8.83203125" customWidth="1"/>
  </cols>
  <sheetData>
    <row r="1" spans="1:1" ht="16" x14ac:dyDescent="0.2">
      <c r="A1" s="2" t="s">
        <v>0</v>
      </c>
    </row>
    <row r="2" spans="1:1" x14ac:dyDescent="0.15">
      <c r="A2" s="4" t="s">
        <v>1</v>
      </c>
    </row>
    <row r="25" spans="1:1" x14ac:dyDescent="0.15">
      <c r="A25" t="s">
        <v>2</v>
      </c>
    </row>
    <row r="26" spans="1:1" x14ac:dyDescent="0.15">
      <c r="A26" t="s">
        <v>3</v>
      </c>
    </row>
    <row r="27" spans="1:1" x14ac:dyDescent="0.15">
      <c r="A27" t="s">
        <v>4</v>
      </c>
    </row>
    <row r="28" spans="1:1" x14ac:dyDescent="0.15">
      <c r="A28" s="5" t="s">
        <v>84</v>
      </c>
    </row>
    <row r="35" spans="2:3" x14ac:dyDescent="0.15">
      <c r="B35" s="28"/>
    </row>
    <row r="36" spans="2:3" x14ac:dyDescent="0.15">
      <c r="B36" s="28"/>
      <c r="C36" s="11"/>
    </row>
    <row r="37" spans="2:3" x14ac:dyDescent="0.15">
      <c r="B37" s="28"/>
      <c r="C37" s="11"/>
    </row>
    <row r="38" spans="2:3" x14ac:dyDescent="0.15">
      <c r="B38" s="28"/>
      <c r="C38" s="11"/>
    </row>
    <row r="39" spans="2:3" x14ac:dyDescent="0.15">
      <c r="B39" s="28"/>
      <c r="C39" s="11"/>
    </row>
    <row r="40" spans="2:3" x14ac:dyDescent="0.15">
      <c r="B40" s="28"/>
      <c r="C40" s="11"/>
    </row>
    <row r="41" spans="2:3" x14ac:dyDescent="0.15">
      <c r="B41" s="28"/>
      <c r="C41" s="11"/>
    </row>
    <row r="42" spans="2:3" x14ac:dyDescent="0.15">
      <c r="B42" s="28"/>
      <c r="C42" s="11"/>
    </row>
    <row r="43" spans="2:3" x14ac:dyDescent="0.15">
      <c r="B43" s="28"/>
      <c r="C43" s="11"/>
    </row>
    <row r="44" spans="2:3" x14ac:dyDescent="0.15">
      <c r="B44" s="28"/>
      <c r="C44" s="11"/>
    </row>
    <row r="45" spans="2:3" x14ac:dyDescent="0.15">
      <c r="B45" s="28"/>
      <c r="C45" s="11"/>
    </row>
  </sheetData>
  <phoneticPr fontId="19" type="noConversion"/>
  <pageMargins left="0.75" right="0.75" top="1" bottom="1" header="0.5" footer="0.5"/>
  <pageSetup paperSize="9" orientation="landscape"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0"/>
  <sheetViews>
    <sheetView workbookViewId="0"/>
  </sheetViews>
  <sheetFormatPr baseColWidth="10" defaultRowHeight="13" x14ac:dyDescent="0.15"/>
  <cols>
    <col min="1" max="1" width="5.83203125" customWidth="1"/>
    <col min="2" max="2" width="4.6640625" customWidth="1"/>
    <col min="3" max="5" width="8.83203125" customWidth="1"/>
    <col min="6" max="6" width="4" customWidth="1"/>
    <col min="7" max="7" width="5" customWidth="1"/>
    <col min="8" max="8" width="5.33203125" customWidth="1"/>
    <col min="9" max="11" width="8.83203125" customWidth="1"/>
    <col min="12" max="12" width="5.1640625" customWidth="1"/>
    <col min="13" max="256" width="8.83203125" customWidth="1"/>
  </cols>
  <sheetData>
    <row r="1" spans="1:12" ht="16" x14ac:dyDescent="0.2">
      <c r="A1" s="43" t="s">
        <v>115</v>
      </c>
    </row>
    <row r="4" spans="1:12" x14ac:dyDescent="0.15">
      <c r="B4" s="97" t="s">
        <v>111</v>
      </c>
      <c r="C4" s="97"/>
      <c r="D4" s="97"/>
      <c r="E4" s="97"/>
      <c r="F4" s="97"/>
      <c r="H4" s="91" t="s">
        <v>112</v>
      </c>
      <c r="I4" s="92"/>
      <c r="J4" s="92"/>
      <c r="K4" s="92"/>
      <c r="L4" s="92"/>
    </row>
    <row r="5" spans="1:12" x14ac:dyDescent="0.15">
      <c r="B5" s="90"/>
      <c r="C5" s="90"/>
      <c r="D5" s="90"/>
      <c r="E5" s="90"/>
      <c r="F5" s="90"/>
      <c r="H5" s="93"/>
      <c r="I5" s="93"/>
      <c r="J5" s="93"/>
      <c r="K5" s="93"/>
      <c r="L5" s="93"/>
    </row>
    <row r="6" spans="1:12" x14ac:dyDescent="0.15">
      <c r="B6" s="90"/>
      <c r="C6" s="90"/>
      <c r="D6" s="90"/>
      <c r="E6" s="90"/>
      <c r="F6" s="90"/>
      <c r="H6" s="93"/>
      <c r="I6" s="94">
        <v>60</v>
      </c>
      <c r="J6" s="95" t="s">
        <v>113</v>
      </c>
      <c r="K6" s="95"/>
      <c r="L6" s="93"/>
    </row>
    <row r="7" spans="1:12" x14ac:dyDescent="0.15">
      <c r="B7" s="90"/>
      <c r="C7" s="90"/>
      <c r="D7" s="90"/>
      <c r="E7" s="90"/>
      <c r="F7" s="90"/>
      <c r="H7" s="93"/>
      <c r="I7" s="96" t="s">
        <v>114</v>
      </c>
      <c r="J7" s="93"/>
      <c r="K7" s="93"/>
      <c r="L7" s="93"/>
    </row>
    <row r="8" spans="1:12" x14ac:dyDescent="0.15">
      <c r="B8" s="90"/>
      <c r="C8" s="90"/>
      <c r="D8" s="90"/>
      <c r="E8" s="90"/>
      <c r="F8" s="90"/>
      <c r="H8" s="93"/>
      <c r="I8" s="93"/>
      <c r="J8" s="93"/>
      <c r="K8" s="93"/>
      <c r="L8" s="93"/>
    </row>
    <row r="10" spans="1:12" x14ac:dyDescent="0.15">
      <c r="B10" s="98" t="s">
        <v>119</v>
      </c>
      <c r="C10" s="99"/>
      <c r="D10" s="99"/>
      <c r="E10" s="99"/>
      <c r="F10" s="99"/>
      <c r="H10" s="98" t="s">
        <v>118</v>
      </c>
      <c r="I10" s="99"/>
      <c r="J10" s="99"/>
      <c r="K10" s="99"/>
      <c r="L10" s="99"/>
    </row>
    <row r="11" spans="1:12" x14ac:dyDescent="0.15">
      <c r="B11" s="100"/>
      <c r="C11" s="100"/>
      <c r="D11" s="100"/>
      <c r="E11" s="100"/>
      <c r="F11" s="100"/>
      <c r="H11" s="100"/>
      <c r="I11" s="100"/>
      <c r="J11" s="100"/>
      <c r="K11" s="100"/>
      <c r="L11" s="100"/>
    </row>
    <row r="12" spans="1:12" x14ac:dyDescent="0.15">
      <c r="B12" s="100"/>
      <c r="C12" s="104" t="s">
        <v>116</v>
      </c>
      <c r="D12" s="104" t="s">
        <v>21</v>
      </c>
      <c r="E12" s="104" t="s">
        <v>22</v>
      </c>
      <c r="F12" s="100"/>
      <c r="H12" s="100"/>
      <c r="I12" s="104" t="s">
        <v>116</v>
      </c>
      <c r="J12" s="104" t="s">
        <v>21</v>
      </c>
      <c r="K12" s="104" t="s">
        <v>22</v>
      </c>
      <c r="L12" s="100"/>
    </row>
    <row r="13" spans="1:12" x14ac:dyDescent="0.15">
      <c r="B13" s="100"/>
      <c r="C13" s="100"/>
      <c r="D13" s="100"/>
      <c r="E13" s="100"/>
      <c r="F13" s="100"/>
      <c r="H13" s="100"/>
      <c r="I13" s="100"/>
      <c r="J13" s="100"/>
      <c r="K13" s="100"/>
      <c r="L13" s="100"/>
    </row>
    <row r="14" spans="1:12" x14ac:dyDescent="0.15">
      <c r="B14" s="100"/>
      <c r="C14" s="100" t="s">
        <v>107</v>
      </c>
      <c r="D14" s="107">
        <f>Standard!M68</f>
        <v>512.43465834364304</v>
      </c>
      <c r="E14" s="108">
        <f>Standard!O68</f>
        <v>14.653189614825321</v>
      </c>
      <c r="F14" s="103"/>
      <c r="H14" s="100"/>
      <c r="I14" s="100" t="s">
        <v>107</v>
      </c>
      <c r="J14" s="107">
        <f>Simulation!R1007</f>
        <v>513.57964022876013</v>
      </c>
      <c r="K14" s="108">
        <f>Simulation!Q1007</f>
        <v>14.65124181941971</v>
      </c>
      <c r="L14" s="103"/>
    </row>
    <row r="15" spans="1:12" x14ac:dyDescent="0.15">
      <c r="B15" s="100"/>
      <c r="C15" s="100" t="s">
        <v>87</v>
      </c>
      <c r="D15" s="107">
        <f>NP1!M68</f>
        <v>610.31181775758273</v>
      </c>
      <c r="E15" s="108">
        <f>NP1!O68</f>
        <v>14.697709857306155</v>
      </c>
      <c r="F15" s="103"/>
      <c r="H15" s="100"/>
      <c r="I15" s="100" t="s">
        <v>87</v>
      </c>
      <c r="J15" s="107">
        <f>Simulation!T1007</f>
        <v>612.90303632091479</v>
      </c>
      <c r="K15" s="108">
        <f>Simulation!S1007</f>
        <v>14.695456244991908</v>
      </c>
      <c r="L15" s="103"/>
    </row>
    <row r="16" spans="1:12" x14ac:dyDescent="0.15">
      <c r="B16" s="100"/>
      <c r="C16" s="100" t="s">
        <v>148</v>
      </c>
      <c r="D16" s="107">
        <f>D15-D14</f>
        <v>97.877159413939694</v>
      </c>
      <c r="E16" s="108">
        <f>E15-E14</f>
        <v>4.4520242480833971E-2</v>
      </c>
      <c r="F16" s="103"/>
      <c r="H16" s="100"/>
      <c r="I16" s="100" t="s">
        <v>148</v>
      </c>
      <c r="J16" s="107">
        <f>J15-J14</f>
        <v>99.323396092154667</v>
      </c>
      <c r="K16" s="108">
        <f>K15-K14</f>
        <v>4.4214425572198124E-2</v>
      </c>
      <c r="L16" s="103"/>
    </row>
    <row r="17" spans="2:12" x14ac:dyDescent="0.15">
      <c r="B17" s="100"/>
      <c r="C17" s="100"/>
      <c r="D17" s="101"/>
      <c r="E17" s="102"/>
      <c r="F17" s="103"/>
      <c r="H17" s="100"/>
      <c r="I17" s="100"/>
      <c r="J17" s="101"/>
      <c r="K17" s="102"/>
      <c r="L17" s="103"/>
    </row>
    <row r="18" spans="2:12" x14ac:dyDescent="0.15">
      <c r="B18" s="100"/>
      <c r="C18" s="100" t="s">
        <v>120</v>
      </c>
      <c r="D18" s="101"/>
      <c r="E18" s="102"/>
      <c r="F18" s="103"/>
      <c r="H18" s="100"/>
      <c r="I18" s="100" t="s">
        <v>120</v>
      </c>
      <c r="J18" s="101"/>
      <c r="K18" s="102"/>
      <c r="L18" s="103"/>
    </row>
    <row r="19" spans="2:12" x14ac:dyDescent="0.15">
      <c r="B19" s="100"/>
      <c r="C19" s="100" t="s">
        <v>121</v>
      </c>
      <c r="D19" s="107">
        <f>D16/E16</f>
        <v>2198.486664938448</v>
      </c>
      <c r="E19" s="104" t="s">
        <v>117</v>
      </c>
      <c r="F19" s="100"/>
      <c r="H19" s="100"/>
      <c r="I19" s="100" t="s">
        <v>121</v>
      </c>
      <c r="J19" s="107">
        <f>J16/K16</f>
        <v>2246.4024988850892</v>
      </c>
      <c r="K19" s="104" t="s">
        <v>117</v>
      </c>
      <c r="L19" s="100"/>
    </row>
    <row r="20" spans="2:12" x14ac:dyDescent="0.15">
      <c r="B20" s="100"/>
      <c r="C20" s="100"/>
      <c r="D20" s="105"/>
      <c r="E20" s="100"/>
      <c r="F20" s="100"/>
      <c r="H20" s="100"/>
      <c r="I20" s="100"/>
      <c r="J20" s="105"/>
      <c r="K20" s="100"/>
      <c r="L20" s="100"/>
    </row>
  </sheetData>
  <phoneticPr fontId="0" type="noConversion"/>
  <conditionalFormatting sqref="I6">
    <cfRule type="cellIs" priority="1" stopIfTrue="1" operator="between">
      <formula>40</formula>
      <formula>90</formula>
    </cfRule>
  </conditionalFormatting>
  <dataValidations count="1">
    <dataValidation type="whole" allowBlank="1" showInputMessage="1" showErrorMessage="1" sqref="I6">
      <formula1>40</formula1>
      <formula2>90</formula2>
    </dataValidation>
  </dataValidations>
  <pageMargins left="0.75" right="0.75" top="1" bottom="1" header="0.5" footer="0.5"/>
  <pageSetup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Group Box 1">
              <controlPr defaultSize="0" autoFill="0" autoPict="0">
                <anchor moveWithCells="1">
                  <from>
                    <xdr:col>1</xdr:col>
                    <xdr:colOff>419100</xdr:colOff>
                    <xdr:row>4</xdr:row>
                    <xdr:rowOff>25400</xdr:rowOff>
                  </from>
                  <to>
                    <xdr:col>4</xdr:col>
                    <xdr:colOff>393700</xdr:colOff>
                    <xdr:row>7</xdr:row>
                    <xdr:rowOff>88900</xdr:rowOff>
                  </to>
                </anchor>
              </controlPr>
            </control>
          </mc:Choice>
        </mc:AlternateContent>
        <mc:AlternateContent xmlns:mc="http://schemas.openxmlformats.org/markup-compatibility/2006">
          <mc:Choice Requires="x14">
            <control shapeId="27650" r:id="rId4" name="Option Button 2">
              <controlPr defaultSize="0" autoFill="0" autoLine="0" autoPict="0">
                <anchor moveWithCells="1">
                  <from>
                    <xdr:col>1</xdr:col>
                    <xdr:colOff>558800</xdr:colOff>
                    <xdr:row>4</xdr:row>
                    <xdr:rowOff>63500</xdr:rowOff>
                  </from>
                  <to>
                    <xdr:col>3</xdr:col>
                    <xdr:colOff>431800</xdr:colOff>
                    <xdr:row>5</xdr:row>
                    <xdr:rowOff>114300</xdr:rowOff>
                  </to>
                </anchor>
              </controlPr>
            </control>
          </mc:Choice>
        </mc:AlternateContent>
        <mc:AlternateContent xmlns:mc="http://schemas.openxmlformats.org/markup-compatibility/2006">
          <mc:Choice Requires="x14">
            <control shapeId="27651" r:id="rId5" name="Option Button 3">
              <controlPr defaultSize="0" autoFill="0" autoLine="0" autoPict="0">
                <anchor moveWithCells="1">
                  <from>
                    <xdr:col>1</xdr:col>
                    <xdr:colOff>558800</xdr:colOff>
                    <xdr:row>5</xdr:row>
                    <xdr:rowOff>139700</xdr:rowOff>
                  </from>
                  <to>
                    <xdr:col>3</xdr:col>
                    <xdr:colOff>431800</xdr:colOff>
                    <xdr:row>7</xdr:row>
                    <xdr:rowOff>25400</xdr:rowOff>
                  </to>
                </anchor>
              </controlPr>
            </control>
          </mc:Choice>
        </mc:AlternateContent>
        <mc:AlternateContent xmlns:mc="http://schemas.openxmlformats.org/markup-compatibility/2006">
          <mc:Choice Requires="x14">
            <control shapeId="27652" r:id="rId6" name="Button 4">
              <controlPr defaultSize="0" print="0" autoFill="0" autoPict="0" macro="[0]!Analysis">
                <anchor moveWithCells="1" sizeWithCells="1">
                  <from>
                    <xdr:col>9</xdr:col>
                    <xdr:colOff>558800</xdr:colOff>
                    <xdr:row>9</xdr:row>
                    <xdr:rowOff>50800</xdr:rowOff>
                  </from>
                  <to>
                    <xdr:col>11</xdr:col>
                    <xdr:colOff>533400</xdr:colOff>
                    <xdr:row>10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43"/>
  <sheetViews>
    <sheetView tabSelected="1" workbookViewId="0">
      <pane ySplit="6" topLeftCell="A7" activePane="bottomLeft" state="frozen"/>
      <selection pane="bottomLeft" activeCell="B25" sqref="B25"/>
    </sheetView>
  </sheetViews>
  <sheetFormatPr baseColWidth="10" defaultRowHeight="13" x14ac:dyDescent="0.15"/>
  <cols>
    <col min="1" max="1" width="14.1640625" customWidth="1"/>
    <col min="2" max="2" width="11" customWidth="1"/>
    <col min="3" max="5" width="12.5" customWidth="1"/>
    <col min="6" max="6" width="12.5" style="112" customWidth="1"/>
    <col min="7" max="8" width="12.5" customWidth="1"/>
    <col min="9" max="9" width="9.5" customWidth="1"/>
    <col min="10" max="10" width="8.83203125" customWidth="1"/>
    <col min="11" max="11" width="10.83203125" customWidth="1"/>
    <col min="12" max="12" width="8.83203125" customWidth="1"/>
    <col min="13" max="13" width="9.33203125" customWidth="1"/>
    <col min="14" max="14" width="11.5" bestFit="1" customWidth="1"/>
    <col min="15" max="15" width="8.83203125" customWidth="1"/>
    <col min="16" max="16" width="2.33203125" customWidth="1"/>
    <col min="17" max="17" width="8.83203125" customWidth="1"/>
    <col min="18" max="18" width="9.6640625" customWidth="1"/>
    <col min="19" max="19" width="10.5" bestFit="1" customWidth="1"/>
    <col min="20" max="256" width="8.83203125" customWidth="1"/>
  </cols>
  <sheetData>
    <row r="1" spans="1:19" ht="16" x14ac:dyDescent="0.2">
      <c r="A1" s="6" t="s">
        <v>83</v>
      </c>
      <c r="I1" s="136"/>
      <c r="J1" s="136"/>
      <c r="K1" s="137" t="s">
        <v>31</v>
      </c>
      <c r="L1" s="136"/>
      <c r="M1" s="136"/>
    </row>
    <row r="2" spans="1:19" s="61" customFormat="1" ht="14" thickBot="1" x14ac:dyDescent="0.2">
      <c r="A2" s="7"/>
      <c r="F2" s="113"/>
      <c r="I2" s="138"/>
      <c r="J2" s="138"/>
      <c r="K2" s="137" t="s">
        <v>143</v>
      </c>
      <c r="L2" s="138"/>
      <c r="M2" s="138"/>
    </row>
    <row r="3" spans="1:19" s="61" customFormat="1" ht="14" thickBot="1" x14ac:dyDescent="0.2">
      <c r="A3" s="7"/>
      <c r="B3" s="48">
        <v>2</v>
      </c>
      <c r="D3" s="111">
        <v>0</v>
      </c>
      <c r="E3" s="109" t="s">
        <v>102</v>
      </c>
      <c r="F3" s="114"/>
      <c r="I3" s="138"/>
      <c r="J3" s="138"/>
      <c r="K3" s="139" t="s">
        <v>5</v>
      </c>
      <c r="L3" s="138"/>
      <c r="M3" s="138"/>
    </row>
    <row r="4" spans="1:19" s="61" customFormat="1" x14ac:dyDescent="0.15">
      <c r="A4" s="7"/>
      <c r="F4" s="113"/>
      <c r="I4" s="138"/>
      <c r="J4" s="138"/>
      <c r="K4" s="139" t="s">
        <v>6</v>
      </c>
      <c r="L4" s="138"/>
      <c r="M4" s="138"/>
    </row>
    <row r="5" spans="1:19" ht="16" x14ac:dyDescent="0.2">
      <c r="A5" s="6"/>
      <c r="D5" s="145" t="s">
        <v>139</v>
      </c>
      <c r="E5" s="145"/>
      <c r="F5" s="145"/>
      <c r="G5" s="145"/>
      <c r="H5" s="145"/>
      <c r="I5" s="136"/>
      <c r="J5" s="136"/>
      <c r="K5" s="140" t="s">
        <v>32</v>
      </c>
      <c r="L5" s="136"/>
      <c r="M5" s="136"/>
    </row>
    <row r="6" spans="1:19" x14ac:dyDescent="0.15">
      <c r="A6" s="7" t="s">
        <v>138</v>
      </c>
      <c r="B6" s="110" t="s">
        <v>33</v>
      </c>
      <c r="C6" s="110" t="s">
        <v>134</v>
      </c>
      <c r="D6" s="110" t="s">
        <v>81</v>
      </c>
      <c r="E6" s="110" t="s">
        <v>133</v>
      </c>
      <c r="F6" s="110" t="s">
        <v>37</v>
      </c>
      <c r="G6" s="110" t="s">
        <v>35</v>
      </c>
      <c r="H6" s="110" t="s">
        <v>36</v>
      </c>
      <c r="I6" s="21" t="s">
        <v>40</v>
      </c>
    </row>
    <row r="7" spans="1:19" x14ac:dyDescent="0.15">
      <c r="N7" s="13"/>
      <c r="O7" s="13"/>
      <c r="P7" s="13"/>
      <c r="Q7" s="12"/>
    </row>
    <row r="8" spans="1:19" x14ac:dyDescent="0.15">
      <c r="A8" t="s">
        <v>7</v>
      </c>
      <c r="B8" s="48">
        <f>Analysis!$I$6</f>
        <v>60</v>
      </c>
      <c r="C8" s="48"/>
      <c r="E8" s="16"/>
      <c r="F8" s="115"/>
      <c r="G8" s="16"/>
      <c r="H8" s="16"/>
      <c r="I8" s="22" t="s">
        <v>8</v>
      </c>
      <c r="J8" s="13"/>
      <c r="K8" s="13"/>
      <c r="L8" s="13"/>
      <c r="M8" s="14"/>
      <c r="N8" s="13"/>
      <c r="O8" s="13"/>
      <c r="P8" s="13"/>
      <c r="Q8" s="12"/>
    </row>
    <row r="9" spans="1:19" x14ac:dyDescent="0.15">
      <c r="A9" t="s">
        <v>44</v>
      </c>
      <c r="B9" s="48">
        <f>IF(B3=2,0,1)</f>
        <v>0</v>
      </c>
      <c r="E9" s="32"/>
      <c r="F9" s="116"/>
      <c r="G9" s="32"/>
      <c r="H9" s="32"/>
      <c r="I9" s="22" t="s">
        <v>82</v>
      </c>
      <c r="J9" s="13"/>
      <c r="K9" s="13"/>
      <c r="L9" s="13"/>
      <c r="M9" s="14"/>
    </row>
    <row r="10" spans="1:19" x14ac:dyDescent="0.15">
      <c r="B10" s="48"/>
      <c r="C10" s="48"/>
      <c r="E10" s="32"/>
      <c r="F10" s="116"/>
      <c r="G10" s="32"/>
      <c r="H10" s="32"/>
      <c r="I10" s="22"/>
      <c r="J10" s="13"/>
      <c r="K10" s="13"/>
      <c r="L10" s="13"/>
      <c r="M10" s="14"/>
    </row>
    <row r="11" spans="1:19" x14ac:dyDescent="0.15">
      <c r="A11" s="22" t="s">
        <v>17</v>
      </c>
      <c r="B11" s="62">
        <v>0.06</v>
      </c>
      <c r="C11" s="10"/>
      <c r="E11" s="10"/>
      <c r="F11" s="117"/>
      <c r="G11" s="10"/>
      <c r="H11" s="10"/>
      <c r="I11" s="22" t="s">
        <v>18</v>
      </c>
      <c r="N11" s="13"/>
      <c r="O11" s="13"/>
      <c r="P11" s="13"/>
      <c r="Q11" s="12"/>
    </row>
    <row r="12" spans="1:19" x14ac:dyDescent="0.15">
      <c r="A12" s="22" t="s">
        <v>19</v>
      </c>
      <c r="B12" s="62">
        <v>1.4999999999999999E-2</v>
      </c>
      <c r="C12" s="10"/>
      <c r="E12" s="10"/>
      <c r="F12" s="117"/>
      <c r="G12" s="10"/>
      <c r="H12" s="10"/>
      <c r="I12" s="22" t="s">
        <v>20</v>
      </c>
      <c r="O12" s="13"/>
      <c r="P12" s="13"/>
      <c r="Q12" s="12"/>
    </row>
    <row r="13" spans="1:19" x14ac:dyDescent="0.15">
      <c r="I13" s="9"/>
      <c r="J13" s="13"/>
      <c r="K13" s="13"/>
      <c r="L13" s="13"/>
      <c r="M13" s="14"/>
      <c r="O13" s="13"/>
      <c r="P13" s="13"/>
      <c r="Q13" s="12"/>
    </row>
    <row r="14" spans="1:19" x14ac:dyDescent="0.15">
      <c r="A14" s="15" t="s">
        <v>137</v>
      </c>
      <c r="I14" s="9"/>
      <c r="J14" s="13"/>
      <c r="K14" s="13"/>
      <c r="L14" s="13"/>
      <c r="M14" s="14"/>
      <c r="O14" s="67"/>
      <c r="P14" s="67"/>
      <c r="Q14" s="69"/>
      <c r="R14" s="35"/>
      <c r="S14" s="35"/>
    </row>
    <row r="15" spans="1:19" x14ac:dyDescent="0.15">
      <c r="A15" s="15"/>
      <c r="I15" s="9"/>
      <c r="J15" s="13"/>
      <c r="K15" s="13"/>
      <c r="L15" s="13"/>
      <c r="M15" s="14"/>
      <c r="O15" s="67"/>
      <c r="P15" s="67"/>
      <c r="Q15" s="69"/>
      <c r="R15" s="35"/>
      <c r="S15" s="35"/>
    </row>
    <row r="16" spans="1:19" s="35" customFormat="1" x14ac:dyDescent="0.15">
      <c r="A16" s="36" t="s">
        <v>9</v>
      </c>
      <c r="B16" s="122">
        <f>IF($D$3=0,D16,C16)</f>
        <v>0.02</v>
      </c>
      <c r="C16" s="122">
        <f ca="1">BETAINV(RAND(),$G$16,$H$16)</f>
        <v>1.6361133962080252E-2</v>
      </c>
      <c r="D16" s="122">
        <f>G16/(G16+H16)</f>
        <v>0.02</v>
      </c>
      <c r="E16" s="143">
        <f>SQRT(G16*H16/((G16+H16)^2*(G16+H16+1)))</f>
        <v>1.3930520662939847E-2</v>
      </c>
      <c r="F16" s="123" t="s">
        <v>69</v>
      </c>
      <c r="G16" s="125">
        <v>2</v>
      </c>
      <c r="H16" s="125">
        <v>98</v>
      </c>
      <c r="I16" s="35" t="s">
        <v>85</v>
      </c>
      <c r="J16" s="67"/>
      <c r="K16" s="67"/>
      <c r="L16" s="67"/>
      <c r="M16" s="68"/>
      <c r="O16" s="70"/>
      <c r="P16" s="70"/>
      <c r="Q16" s="71"/>
      <c r="R16" s="70"/>
      <c r="S16" s="70"/>
    </row>
    <row r="17" spans="1:19" s="35" customFormat="1" x14ac:dyDescent="0.15">
      <c r="A17" s="36" t="s">
        <v>10</v>
      </c>
      <c r="B17" s="122">
        <f>IF($D$3=0,D17,C17)</f>
        <v>0.02</v>
      </c>
      <c r="C17" s="122">
        <f ca="1">BETAINV(RAND(),$G$17,$H$17)</f>
        <v>6.3553684479931039E-2</v>
      </c>
      <c r="D17" s="122">
        <f>G17/(G17+H17)</f>
        <v>0.02</v>
      </c>
      <c r="E17" s="143">
        <f>SQRT(G17*H17/((G17+H17)^2*(G17+H17+1)))</f>
        <v>1.3930520662939847E-2</v>
      </c>
      <c r="F17" s="123" t="s">
        <v>69</v>
      </c>
      <c r="G17" s="125">
        <v>2</v>
      </c>
      <c r="H17" s="125">
        <v>98</v>
      </c>
      <c r="I17" s="35" t="s">
        <v>86</v>
      </c>
      <c r="J17" s="67"/>
      <c r="K17" s="67"/>
      <c r="L17" s="67"/>
      <c r="M17" s="68"/>
      <c r="N17" s="70"/>
      <c r="O17" s="70"/>
      <c r="P17" s="70"/>
      <c r="Q17" s="70"/>
      <c r="R17" s="70"/>
      <c r="S17" s="70"/>
    </row>
    <row r="18" spans="1:19" s="35" customFormat="1" x14ac:dyDescent="0.15">
      <c r="A18" s="35" t="s">
        <v>11</v>
      </c>
      <c r="B18" s="122">
        <f>IF($D$3=0,D18,C18)</f>
        <v>0.04</v>
      </c>
      <c r="C18" s="122">
        <f ca="1">BETAINV(RAND(),$G$18,$H$18)</f>
        <v>0.10038405962640673</v>
      </c>
      <c r="D18" s="122">
        <f>G18/(G18+H18)</f>
        <v>0.04</v>
      </c>
      <c r="E18" s="143">
        <f>SQRT(G18*H18/((G18+H18)^2*(G18+H18+1)))</f>
        <v>1.9498667128857301E-2</v>
      </c>
      <c r="F18" s="123" t="s">
        <v>69</v>
      </c>
      <c r="G18" s="125">
        <v>4</v>
      </c>
      <c r="H18" s="125">
        <v>96</v>
      </c>
      <c r="I18" s="35" t="s">
        <v>90</v>
      </c>
      <c r="J18" s="67"/>
      <c r="K18" s="67"/>
      <c r="L18" s="67"/>
      <c r="M18" s="68"/>
      <c r="N18" s="70"/>
      <c r="O18" s="70"/>
      <c r="P18" s="70"/>
      <c r="Q18" s="70"/>
      <c r="R18" s="70"/>
      <c r="S18" s="70"/>
    </row>
    <row r="19" spans="1:19" x14ac:dyDescent="0.15">
      <c r="N19" s="13"/>
      <c r="O19" s="13"/>
      <c r="P19" s="13"/>
      <c r="Q19" s="31"/>
      <c r="R19" s="1"/>
      <c r="S19" s="1"/>
    </row>
    <row r="20" spans="1:19" x14ac:dyDescent="0.15">
      <c r="A20" s="3" t="s">
        <v>136</v>
      </c>
      <c r="I20" s="9"/>
      <c r="J20" s="13"/>
      <c r="K20" s="13"/>
      <c r="L20" s="13"/>
      <c r="M20" s="14"/>
      <c r="N20" s="67"/>
      <c r="O20" s="67"/>
      <c r="P20" s="67"/>
      <c r="Q20" s="67"/>
      <c r="R20" s="72"/>
      <c r="S20" s="72"/>
    </row>
    <row r="21" spans="1:19" x14ac:dyDescent="0.15">
      <c r="A21" s="3"/>
      <c r="I21" s="9"/>
      <c r="J21" s="13"/>
      <c r="K21" s="13"/>
      <c r="L21" s="13"/>
      <c r="M21" s="14"/>
      <c r="N21" s="67"/>
      <c r="O21" s="67"/>
      <c r="P21" s="67"/>
      <c r="Q21" s="67"/>
      <c r="R21" s="72"/>
      <c r="S21" s="72"/>
    </row>
    <row r="22" spans="1:19" s="35" customFormat="1" x14ac:dyDescent="0.15">
      <c r="A22" s="35" t="s">
        <v>94</v>
      </c>
      <c r="B22" s="122">
        <f>IF($D$3=0,D22,C22)</f>
        <v>-5.4909350000000003</v>
      </c>
      <c r="C22" s="122">
        <f ca="1">'Hazard function'!G37</f>
        <v>-5.4587506876729837</v>
      </c>
      <c r="D22" s="122">
        <f>'Hazard function'!C7</f>
        <v>-5.4909350000000003</v>
      </c>
      <c r="E22" s="122">
        <f>'Hazard function'!D7</f>
        <v>0.20789199999999999</v>
      </c>
      <c r="F22" s="123" t="s">
        <v>54</v>
      </c>
      <c r="G22" s="38">
        <v>-5.3131622378175054</v>
      </c>
      <c r="H22" s="38"/>
      <c r="I22" s="35" t="s">
        <v>95</v>
      </c>
      <c r="J22" s="67"/>
      <c r="K22" s="67"/>
      <c r="L22" s="67"/>
      <c r="M22" s="68"/>
      <c r="N22" s="67"/>
      <c r="O22" s="67"/>
      <c r="P22" s="67"/>
      <c r="Q22" s="67"/>
      <c r="R22" s="72"/>
      <c r="S22" s="72"/>
    </row>
    <row r="23" spans="1:19" s="35" customFormat="1" x14ac:dyDescent="0.15">
      <c r="A23" s="63" t="s">
        <v>50</v>
      </c>
      <c r="B23" s="122">
        <f>IF($D$3=0,D23,C23)</f>
        <v>-3.6702199999999997E-2</v>
      </c>
      <c r="C23" s="122">
        <f ca="1">'Hazard function'!G38</f>
        <v>-3.6671969727894417E-2</v>
      </c>
      <c r="D23" s="122">
        <f>'Hazard function'!C8</f>
        <v>-3.6702199999999997E-2</v>
      </c>
      <c r="E23" s="122">
        <f>'Hazard function'!D8</f>
        <v>5.2112E-3</v>
      </c>
      <c r="F23" s="123" t="s">
        <v>54</v>
      </c>
      <c r="G23" s="38">
        <v>-3.8536391267501552E-2</v>
      </c>
      <c r="H23" s="38"/>
      <c r="I23" s="35" t="s">
        <v>96</v>
      </c>
      <c r="J23" s="67"/>
      <c r="K23" s="67"/>
      <c r="L23" s="67"/>
      <c r="M23" s="68"/>
      <c r="N23" s="73"/>
      <c r="O23" s="73"/>
      <c r="P23" s="73"/>
      <c r="Q23" s="73"/>
      <c r="R23" s="75"/>
      <c r="S23" s="75"/>
    </row>
    <row r="24" spans="1:19" s="35" customFormat="1" x14ac:dyDescent="0.15">
      <c r="A24" s="63" t="s">
        <v>93</v>
      </c>
      <c r="B24" s="122">
        <f>IF($D$3=0,D24,C24)</f>
        <v>0.768536</v>
      </c>
      <c r="C24" s="122">
        <f ca="1">'Hazard function'!G39</f>
        <v>0.83882744328964454</v>
      </c>
      <c r="D24" s="122">
        <f>'Hazard function'!C9</f>
        <v>0.768536</v>
      </c>
      <c r="E24" s="122">
        <f>'Hazard function'!D9</f>
        <v>0.109066</v>
      </c>
      <c r="F24" s="123" t="s">
        <v>54</v>
      </c>
      <c r="G24" s="38">
        <v>0.74709644701167743</v>
      </c>
      <c r="H24" s="38"/>
      <c r="I24" s="35" t="s">
        <v>97</v>
      </c>
      <c r="J24" s="67"/>
      <c r="K24" s="67"/>
      <c r="L24" s="67"/>
      <c r="M24" s="68"/>
      <c r="N24" s="67"/>
      <c r="O24" s="67"/>
      <c r="P24" s="67"/>
      <c r="Q24" s="67"/>
      <c r="R24" s="72"/>
      <c r="S24" s="72"/>
    </row>
    <row r="25" spans="1:19" s="66" customFormat="1" x14ac:dyDescent="0.15">
      <c r="A25" s="64" t="s">
        <v>122</v>
      </c>
      <c r="B25" s="141">
        <f>EXP(cons+ageC*age+maleC*male)</f>
        <v>4.5597754184620288E-4</v>
      </c>
      <c r="C25" s="38"/>
      <c r="D25" s="38"/>
      <c r="E25" s="38"/>
      <c r="F25" s="124"/>
      <c r="G25" s="65"/>
      <c r="H25" s="65"/>
      <c r="I25" s="66" t="s">
        <v>123</v>
      </c>
      <c r="J25" s="73"/>
      <c r="K25" s="73"/>
      <c r="L25" s="73"/>
      <c r="M25" s="74"/>
      <c r="N25" s="17"/>
      <c r="O25" s="17"/>
      <c r="P25" s="17"/>
      <c r="Q25" s="18"/>
      <c r="R25" s="19"/>
      <c r="S25" s="19"/>
    </row>
    <row r="26" spans="1:19" s="35" customFormat="1" x14ac:dyDescent="0.15">
      <c r="A26" s="63" t="s">
        <v>124</v>
      </c>
      <c r="B26" s="122">
        <f>IF($D$3=0,D26,C26)</f>
        <v>1.4536778596632325</v>
      </c>
      <c r="C26" s="122">
        <f ca="1">EXP('Hazard function'!G36)</f>
        <v>1.4560353476911445</v>
      </c>
      <c r="D26" s="122">
        <f>EXP('Hazard function'!C6)</f>
        <v>1.4536778596632325</v>
      </c>
      <c r="E26" s="122">
        <f>'Hazard function'!D6</f>
        <v>4.7450100000000002E-2</v>
      </c>
      <c r="F26" s="123" t="s">
        <v>54</v>
      </c>
      <c r="G26" s="38">
        <v>1.4011689526022963</v>
      </c>
      <c r="H26" s="38"/>
      <c r="I26" s="35" t="s">
        <v>135</v>
      </c>
      <c r="J26" s="67"/>
      <c r="K26" s="67"/>
      <c r="L26" s="67"/>
      <c r="M26" s="68"/>
      <c r="N26" s="17"/>
      <c r="O26" s="17"/>
      <c r="P26" s="17"/>
      <c r="Q26" s="18"/>
      <c r="R26" s="19"/>
      <c r="S26" s="19"/>
    </row>
    <row r="27" spans="1:19" s="35" customFormat="1" x14ac:dyDescent="0.15">
      <c r="A27" s="35" t="s">
        <v>91</v>
      </c>
      <c r="B27" s="122">
        <f>IF($D$3=0,D27,C27)</f>
        <v>0.26067678779517234</v>
      </c>
      <c r="C27" s="122">
        <f ca="1">EXP('Hazard function'!G40)</f>
        <v>0.23944108954221868</v>
      </c>
      <c r="D27" s="122">
        <f>EXP('Hazard function'!C10)</f>
        <v>0.26067678779517234</v>
      </c>
      <c r="E27" s="122">
        <f>'Hazard function'!D10</f>
        <v>0.38258150000000002</v>
      </c>
      <c r="F27" s="123" t="s">
        <v>54</v>
      </c>
      <c r="H27" s="38"/>
      <c r="I27" s="35" t="s">
        <v>89</v>
      </c>
      <c r="J27" s="67"/>
      <c r="K27" s="67"/>
      <c r="L27" s="67"/>
      <c r="M27" s="68"/>
      <c r="N27"/>
      <c r="O27"/>
      <c r="P27"/>
      <c r="Q27"/>
      <c r="R27"/>
      <c r="S27"/>
    </row>
    <row r="28" spans="1:19" s="35" customFormat="1" x14ac:dyDescent="0.15">
      <c r="B28" s="30"/>
      <c r="C28" s="30"/>
      <c r="D28" s="30"/>
      <c r="E28" s="30"/>
      <c r="F28" s="30"/>
      <c r="H28" s="38"/>
      <c r="J28" s="67"/>
      <c r="K28" s="67"/>
      <c r="L28" s="67"/>
      <c r="M28" s="68"/>
      <c r="N28" s="13"/>
      <c r="O28" s="13"/>
      <c r="P28" s="13"/>
      <c r="Q28" s="31"/>
      <c r="R28" s="1"/>
      <c r="S28" s="1"/>
    </row>
    <row r="29" spans="1:19" x14ac:dyDescent="0.15">
      <c r="B29" s="8"/>
      <c r="C29" s="8"/>
      <c r="D29" s="8"/>
      <c r="E29" s="8"/>
      <c r="F29" s="118"/>
      <c r="G29" s="8"/>
      <c r="H29" s="8"/>
      <c r="J29" s="34"/>
      <c r="K29" s="34"/>
      <c r="L29" s="13"/>
      <c r="M29" s="14"/>
    </row>
    <row r="30" spans="1:19" x14ac:dyDescent="0.15">
      <c r="A30" s="15" t="s">
        <v>58</v>
      </c>
      <c r="B30" s="8"/>
      <c r="C30" s="8"/>
      <c r="D30" s="8"/>
      <c r="E30" s="8"/>
      <c r="F30" s="118"/>
      <c r="G30" s="8"/>
      <c r="H30" s="8"/>
      <c r="J30" s="34"/>
      <c r="K30" s="34"/>
      <c r="L30" s="13"/>
      <c r="M30" s="14"/>
      <c r="N30" s="70"/>
      <c r="O30" s="70"/>
      <c r="P30" s="70"/>
      <c r="Q30" s="71"/>
      <c r="R30" s="70"/>
      <c r="S30" s="70"/>
    </row>
    <row r="31" spans="1:19" x14ac:dyDescent="0.15">
      <c r="N31" s="70"/>
      <c r="O31" s="70"/>
      <c r="P31" s="70"/>
      <c r="Q31" s="71"/>
      <c r="R31" s="70"/>
      <c r="S31" s="70"/>
    </row>
    <row r="32" spans="1:19" s="35" customFormat="1" x14ac:dyDescent="0.15">
      <c r="A32" s="35" t="s">
        <v>12</v>
      </c>
      <c r="B32" s="51">
        <v>0</v>
      </c>
      <c r="C32" s="37"/>
      <c r="D32" s="37"/>
      <c r="E32" s="39"/>
      <c r="F32" s="119"/>
      <c r="G32" s="39"/>
      <c r="H32" s="39"/>
      <c r="I32" s="35" t="s">
        <v>104</v>
      </c>
      <c r="J32" s="67"/>
      <c r="K32" s="67"/>
      <c r="L32" s="67"/>
      <c r="M32" s="68"/>
    </row>
    <row r="33" spans="1:19" s="35" customFormat="1" x14ac:dyDescent="0.15">
      <c r="A33" s="35" t="s">
        <v>13</v>
      </c>
      <c r="B33" s="126">
        <f>IF($D$3=0,D33,C33)</f>
        <v>5294</v>
      </c>
      <c r="C33" s="125">
        <f ca="1">GAMMAINV(RAND(),G33,H33)</f>
        <v>4186.3551252301186</v>
      </c>
      <c r="D33" s="125">
        <v>5294</v>
      </c>
      <c r="E33" s="125">
        <v>1487</v>
      </c>
      <c r="F33" s="123" t="s">
        <v>39</v>
      </c>
      <c r="G33" s="122">
        <f>(D33/E33)^2</f>
        <v>12.674940721401212</v>
      </c>
      <c r="H33" s="122">
        <f>(E33^2)/D33</f>
        <v>417.67453721193806</v>
      </c>
      <c r="I33" s="35" t="s">
        <v>68</v>
      </c>
      <c r="J33" s="67"/>
      <c r="K33" s="67"/>
      <c r="L33" s="67"/>
      <c r="M33" s="68"/>
      <c r="N33" s="87"/>
      <c r="O33" s="87"/>
      <c r="P33" s="87"/>
      <c r="Q33" s="88"/>
      <c r="R33" s="87"/>
      <c r="S33" s="87"/>
    </row>
    <row r="34" spans="1:19" s="35" customFormat="1" x14ac:dyDescent="0.15">
      <c r="A34" s="35" t="s">
        <v>14</v>
      </c>
      <c r="B34" s="51">
        <f>IF($D$3=0,D34,C34)</f>
        <v>0</v>
      </c>
      <c r="C34" s="37"/>
      <c r="D34" s="37"/>
      <c r="E34" s="37"/>
      <c r="F34" s="119"/>
      <c r="G34" s="37"/>
      <c r="H34" s="37"/>
      <c r="I34" s="35" t="s">
        <v>15</v>
      </c>
      <c r="J34" s="67"/>
      <c r="K34" s="67"/>
      <c r="L34" s="67"/>
      <c r="M34" s="68"/>
      <c r="N34" s="87"/>
      <c r="O34" s="87"/>
      <c r="P34" s="87"/>
      <c r="Q34" s="88"/>
      <c r="R34" s="87"/>
      <c r="S34" s="87"/>
    </row>
    <row r="35" spans="1:19" s="61" customFormat="1" x14ac:dyDescent="0.15">
      <c r="A35" s="61" t="s">
        <v>105</v>
      </c>
      <c r="B35" s="84">
        <v>394</v>
      </c>
      <c r="D35" s="84"/>
      <c r="E35" s="84"/>
      <c r="F35" s="120"/>
      <c r="G35" s="84"/>
      <c r="H35" s="84"/>
      <c r="I35" s="61" t="s">
        <v>106</v>
      </c>
      <c r="J35" s="85"/>
      <c r="K35" s="85"/>
      <c r="L35" s="85"/>
      <c r="M35" s="86"/>
      <c r="N35" s="87"/>
      <c r="O35" s="87"/>
      <c r="P35" s="87"/>
      <c r="Q35" s="88"/>
      <c r="R35" s="87"/>
      <c r="S35" s="87"/>
    </row>
    <row r="36" spans="1:19" s="61" customFormat="1" x14ac:dyDescent="0.15">
      <c r="A36" s="61" t="s">
        <v>98</v>
      </c>
      <c r="B36" s="84">
        <v>579</v>
      </c>
      <c r="D36" s="84"/>
      <c r="E36" s="84"/>
      <c r="F36" s="120"/>
      <c r="G36" s="84"/>
      <c r="H36" s="84"/>
      <c r="I36" s="61" t="s">
        <v>99</v>
      </c>
      <c r="J36" s="85"/>
      <c r="K36" s="85"/>
      <c r="L36" s="85"/>
      <c r="M36" s="86"/>
      <c r="N36" s="17"/>
      <c r="O36" s="17"/>
      <c r="P36" s="17"/>
      <c r="Q36" s="18"/>
      <c r="R36" s="19"/>
      <c r="S36" s="19"/>
    </row>
    <row r="37" spans="1:19" s="61" customFormat="1" x14ac:dyDescent="0.15">
      <c r="B37" s="84"/>
      <c r="C37" s="84"/>
      <c r="D37" s="84"/>
      <c r="E37" s="84"/>
      <c r="F37" s="120"/>
      <c r="G37" s="84"/>
      <c r="H37" s="84"/>
      <c r="J37" s="85"/>
      <c r="K37" s="85"/>
      <c r="L37" s="85"/>
      <c r="M37" s="86"/>
      <c r="N37"/>
      <c r="O37"/>
      <c r="P37"/>
      <c r="Q37"/>
      <c r="R37"/>
      <c r="S37"/>
    </row>
    <row r="38" spans="1:19" x14ac:dyDescent="0.15">
      <c r="A38" s="22"/>
      <c r="B38" s="30"/>
      <c r="C38" s="30"/>
      <c r="D38" s="30"/>
      <c r="E38" s="30"/>
      <c r="F38" s="121"/>
      <c r="G38" s="30"/>
      <c r="H38" s="30"/>
      <c r="I38" s="9"/>
      <c r="J38" s="13"/>
      <c r="K38" s="13"/>
      <c r="L38" s="13"/>
      <c r="M38" s="14"/>
    </row>
    <row r="39" spans="1:19" x14ac:dyDescent="0.15">
      <c r="A39" s="21" t="s">
        <v>16</v>
      </c>
      <c r="N39" s="35"/>
      <c r="O39" s="35"/>
      <c r="P39" s="35"/>
      <c r="Q39" s="35"/>
      <c r="R39" s="35"/>
      <c r="S39" s="35"/>
    </row>
    <row r="40" spans="1:19" x14ac:dyDescent="0.15">
      <c r="N40" s="35"/>
      <c r="O40" s="35"/>
      <c r="P40" s="35"/>
      <c r="Q40" s="35"/>
      <c r="R40" s="35"/>
      <c r="S40" s="35"/>
    </row>
    <row r="41" spans="1:19" s="35" customFormat="1" x14ac:dyDescent="0.15">
      <c r="A41" s="35" t="s">
        <v>55</v>
      </c>
      <c r="B41" s="122">
        <f>IF($D$3=0,D41,C41)</f>
        <v>0.85</v>
      </c>
      <c r="C41" s="122">
        <f ca="1">BETAINV(RAND(),G41,H41)</f>
        <v>0.8873790191633204</v>
      </c>
      <c r="D41" s="122">
        <v>0.85</v>
      </c>
      <c r="E41" s="122">
        <v>0.03</v>
      </c>
      <c r="F41" s="123" t="s">
        <v>69</v>
      </c>
      <c r="G41" s="122">
        <f>D41*(D41*(1-D41)/(E41^2)-1)</f>
        <v>119.56666666666668</v>
      </c>
      <c r="H41" s="122">
        <f>D41*(1-D41)/(E41^2)-1-G41</f>
        <v>21.100000000000009</v>
      </c>
      <c r="I41" s="35" t="s">
        <v>71</v>
      </c>
    </row>
    <row r="42" spans="1:19" s="35" customFormat="1" x14ac:dyDescent="0.15">
      <c r="A42" s="35" t="s">
        <v>56</v>
      </c>
      <c r="B42" s="122">
        <f>IF($D$3=0,D42,C42)</f>
        <v>0.75</v>
      </c>
      <c r="C42" s="122">
        <f ca="1">BETAINV(RAND(),G42,H42)</f>
        <v>0.77447625489240401</v>
      </c>
      <c r="D42" s="122">
        <v>0.75</v>
      </c>
      <c r="E42" s="122">
        <v>0.04</v>
      </c>
      <c r="F42" s="123" t="s">
        <v>69</v>
      </c>
      <c r="G42" s="122">
        <f>D42*(D42*(1-D42)/(E42^2)-1)</f>
        <v>87.140625</v>
      </c>
      <c r="H42" s="122">
        <f>D42*(1-D42)/(E42^2)-1-G42</f>
        <v>29.046875</v>
      </c>
      <c r="I42" s="35" t="s">
        <v>72</v>
      </c>
      <c r="N42"/>
      <c r="O42"/>
      <c r="P42"/>
      <c r="Q42"/>
      <c r="R42"/>
      <c r="S42"/>
    </row>
    <row r="43" spans="1:19" s="35" customFormat="1" x14ac:dyDescent="0.15">
      <c r="A43" s="35" t="s">
        <v>57</v>
      </c>
      <c r="B43" s="122">
        <f>IF($D$3=0,D43,C43)</f>
        <v>0.3</v>
      </c>
      <c r="C43" s="122">
        <f ca="1">BETAINV(RAND(),G43,H43)</f>
        <v>0.32633819053020063</v>
      </c>
      <c r="D43" s="122">
        <v>0.3</v>
      </c>
      <c r="E43" s="122">
        <v>0.03</v>
      </c>
      <c r="F43" s="123" t="s">
        <v>69</v>
      </c>
      <c r="G43" s="122">
        <f>D43*(D43*(1-D43)/(E43^2)-1)</f>
        <v>69.7</v>
      </c>
      <c r="H43" s="122">
        <f>D43*(1-D43)/(E43^2)-1-G43</f>
        <v>162.63333333333333</v>
      </c>
      <c r="I43" s="35" t="s">
        <v>73</v>
      </c>
      <c r="N43"/>
      <c r="O43"/>
      <c r="P43"/>
      <c r="Q43"/>
      <c r="R43"/>
      <c r="S43"/>
    </row>
  </sheetData>
  <mergeCells count="1">
    <mergeCell ref="D5:H5"/>
  </mergeCells>
  <phoneticPr fontId="19" type="noConversion"/>
  <pageMargins left="0.74803149606299213" right="0.74803149606299213" top="0.54" bottom="0.56000000000000005" header="0.51181102362204722" footer="0.51181102362204722"/>
  <pageSetup paperSize="9" scale="66" orientation="landscape" horizontalDpi="300" verticalDpi="30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59"/>
  <sheetViews>
    <sheetView workbookViewId="0">
      <selection activeCell="D15" sqref="D15"/>
    </sheetView>
  </sheetViews>
  <sheetFormatPr baseColWidth="10" defaultRowHeight="13" x14ac:dyDescent="0.15"/>
  <cols>
    <col min="1" max="1" width="6.83203125" customWidth="1"/>
    <col min="2" max="2" width="12.5" customWidth="1"/>
    <col min="3" max="256" width="8.83203125" customWidth="1"/>
  </cols>
  <sheetData>
    <row r="1" spans="1:20" ht="16" x14ac:dyDescent="0.2">
      <c r="A1" s="43" t="s">
        <v>75</v>
      </c>
      <c r="G1" s="56"/>
    </row>
    <row r="2" spans="1:20" ht="16" x14ac:dyDescent="0.2">
      <c r="A2" s="43"/>
    </row>
    <row r="3" spans="1:20" x14ac:dyDescent="0.15">
      <c r="B3" s="80" t="s">
        <v>74</v>
      </c>
      <c r="C3" s="81" t="s">
        <v>66</v>
      </c>
      <c r="D3" s="81" t="s">
        <v>67</v>
      </c>
    </row>
    <row r="4" spans="1:20" x14ac:dyDescent="0.15">
      <c r="B4" s="80" t="s">
        <v>60</v>
      </c>
      <c r="C4">
        <v>1.51</v>
      </c>
      <c r="D4">
        <v>0.99</v>
      </c>
      <c r="E4" s="57"/>
      <c r="F4" s="57"/>
      <c r="H4" s="56"/>
      <c r="I4" s="56"/>
      <c r="J4" s="56"/>
      <c r="K4" s="56"/>
      <c r="L4" s="56"/>
      <c r="M4" s="56"/>
      <c r="N4" s="56"/>
      <c r="O4" s="56"/>
    </row>
    <row r="5" spans="1:20" x14ac:dyDescent="0.15">
      <c r="B5" s="80" t="s">
        <v>61</v>
      </c>
      <c r="C5">
        <v>3.93</v>
      </c>
      <c r="D5">
        <v>2.6</v>
      </c>
    </row>
    <row r="6" spans="1:20" x14ac:dyDescent="0.15">
      <c r="B6" s="80" t="s">
        <v>62</v>
      </c>
      <c r="C6">
        <v>10.9</v>
      </c>
      <c r="D6">
        <v>6.7</v>
      </c>
      <c r="E6" s="57"/>
      <c r="F6" s="57"/>
      <c r="G6" s="56"/>
      <c r="H6" s="56"/>
      <c r="I6" s="56"/>
      <c r="J6" s="56"/>
      <c r="K6" s="56"/>
      <c r="L6" s="56"/>
      <c r="M6" s="56"/>
      <c r="N6" s="56"/>
      <c r="O6" s="56"/>
    </row>
    <row r="7" spans="1:20" x14ac:dyDescent="0.15">
      <c r="B7" s="80" t="s">
        <v>63</v>
      </c>
      <c r="C7">
        <v>31.6</v>
      </c>
      <c r="D7">
        <v>19.3</v>
      </c>
      <c r="P7" s="13"/>
      <c r="Q7" s="13"/>
      <c r="R7" s="13"/>
      <c r="S7" s="13"/>
      <c r="T7" s="13"/>
    </row>
    <row r="8" spans="1:20" x14ac:dyDescent="0.15">
      <c r="B8" s="80" t="s">
        <v>64</v>
      </c>
      <c r="C8">
        <v>80.099999999999994</v>
      </c>
      <c r="D8">
        <v>53.5</v>
      </c>
      <c r="P8" s="13"/>
      <c r="Q8" s="13"/>
      <c r="R8" s="13"/>
      <c r="S8" s="13"/>
      <c r="T8" s="13"/>
    </row>
    <row r="9" spans="1:20" x14ac:dyDescent="0.15">
      <c r="B9" s="80" t="s">
        <v>65</v>
      </c>
      <c r="C9">
        <v>187.9</v>
      </c>
      <c r="D9">
        <v>154.80000000000001</v>
      </c>
      <c r="P9" s="13"/>
      <c r="Q9" s="13"/>
      <c r="R9" s="13"/>
      <c r="S9" s="13"/>
      <c r="T9" s="13"/>
    </row>
    <row r="10" spans="1:20" x14ac:dyDescent="0.15">
      <c r="P10" s="13"/>
      <c r="Q10" s="13"/>
      <c r="R10" s="13"/>
      <c r="S10" s="13"/>
      <c r="T10" s="13"/>
    </row>
    <row r="11" spans="1:20" x14ac:dyDescent="0.15">
      <c r="P11" s="13"/>
      <c r="Q11" s="13"/>
      <c r="R11" s="13"/>
      <c r="S11" s="13"/>
      <c r="T11" s="13"/>
    </row>
    <row r="12" spans="1:20" ht="16" x14ac:dyDescent="0.2">
      <c r="A12" s="43" t="s">
        <v>76</v>
      </c>
      <c r="P12" s="13"/>
      <c r="Q12" s="12"/>
    </row>
    <row r="13" spans="1:20" x14ac:dyDescent="0.15">
      <c r="P13" s="13"/>
      <c r="Q13" s="12"/>
    </row>
    <row r="14" spans="1:20" x14ac:dyDescent="0.15">
      <c r="B14" s="80" t="s">
        <v>74</v>
      </c>
      <c r="C14" s="81" t="s">
        <v>77</v>
      </c>
      <c r="D14" s="81" t="s">
        <v>66</v>
      </c>
      <c r="E14" s="81" t="s">
        <v>67</v>
      </c>
      <c r="P14" s="13"/>
      <c r="Q14" s="12"/>
    </row>
    <row r="15" spans="1:20" x14ac:dyDescent="0.15">
      <c r="B15" s="80" t="s">
        <v>60</v>
      </c>
      <c r="C15">
        <v>35</v>
      </c>
      <c r="D15">
        <f t="shared" ref="D15:E20" si="0">C4/1000</f>
        <v>1.5100000000000001E-3</v>
      </c>
      <c r="E15">
        <f t="shared" si="0"/>
        <v>9.8999999999999999E-4</v>
      </c>
      <c r="P15" s="13"/>
      <c r="Q15" s="12"/>
    </row>
    <row r="16" spans="1:20" x14ac:dyDescent="0.15">
      <c r="B16" s="80" t="s">
        <v>61</v>
      </c>
      <c r="C16">
        <v>45</v>
      </c>
      <c r="D16">
        <f t="shared" si="0"/>
        <v>3.9300000000000003E-3</v>
      </c>
      <c r="E16">
        <f t="shared" si="0"/>
        <v>2.5999999999999999E-3</v>
      </c>
      <c r="P16" s="13"/>
      <c r="Q16" s="12"/>
    </row>
    <row r="17" spans="1:17" x14ac:dyDescent="0.15">
      <c r="B17" s="80" t="s">
        <v>62</v>
      </c>
      <c r="C17">
        <v>55</v>
      </c>
      <c r="D17">
        <f t="shared" si="0"/>
        <v>1.09E-2</v>
      </c>
      <c r="E17">
        <f t="shared" si="0"/>
        <v>6.7000000000000002E-3</v>
      </c>
      <c r="P17" s="13"/>
      <c r="Q17" s="12"/>
    </row>
    <row r="18" spans="1:17" x14ac:dyDescent="0.15">
      <c r="B18" s="80" t="s">
        <v>63</v>
      </c>
      <c r="C18">
        <v>65</v>
      </c>
      <c r="D18">
        <f t="shared" si="0"/>
        <v>3.1600000000000003E-2</v>
      </c>
      <c r="E18">
        <f t="shared" si="0"/>
        <v>1.9300000000000001E-2</v>
      </c>
    </row>
    <row r="19" spans="1:17" x14ac:dyDescent="0.15">
      <c r="B19" s="80" t="s">
        <v>64</v>
      </c>
      <c r="C19">
        <v>75</v>
      </c>
      <c r="D19">
        <f t="shared" si="0"/>
        <v>8.0099999999999991E-2</v>
      </c>
      <c r="E19">
        <f t="shared" si="0"/>
        <v>5.3499999999999999E-2</v>
      </c>
    </row>
    <row r="20" spans="1:17" x14ac:dyDescent="0.15">
      <c r="B20" s="80" t="s">
        <v>65</v>
      </c>
      <c r="C20">
        <v>85</v>
      </c>
      <c r="D20">
        <f t="shared" si="0"/>
        <v>0.18790000000000001</v>
      </c>
      <c r="E20">
        <f t="shared" si="0"/>
        <v>0.15480000000000002</v>
      </c>
    </row>
    <row r="26" spans="1:17" ht="16" x14ac:dyDescent="0.2">
      <c r="A26" s="43"/>
    </row>
    <row r="31" spans="1:17" x14ac:dyDescent="0.15">
      <c r="B31" s="40"/>
      <c r="C31" s="40"/>
      <c r="D31" s="40"/>
      <c r="E31" s="40"/>
      <c r="F31" s="40"/>
      <c r="G31" s="40"/>
      <c r="H31" s="40"/>
      <c r="I31" s="40"/>
      <c r="J31" s="40"/>
      <c r="K31" s="40"/>
      <c r="L31" s="40"/>
      <c r="M31" s="40"/>
      <c r="N31" s="40"/>
      <c r="O31" s="40"/>
    </row>
    <row r="32" spans="1:17" x14ac:dyDescent="0.15">
      <c r="B32" s="40"/>
      <c r="C32" s="40"/>
      <c r="D32" s="40"/>
      <c r="E32" s="40"/>
      <c r="F32" s="40"/>
      <c r="G32" s="40"/>
      <c r="H32" s="40"/>
      <c r="I32" s="40"/>
      <c r="J32" s="40"/>
      <c r="K32" s="40"/>
      <c r="L32" s="40"/>
      <c r="M32" s="40"/>
      <c r="N32" s="40"/>
      <c r="O32" s="40"/>
    </row>
    <row r="33" spans="2:15" x14ac:dyDescent="0.15">
      <c r="B33" s="40"/>
      <c r="C33" s="40"/>
      <c r="D33" s="40"/>
      <c r="E33" s="40"/>
      <c r="F33" s="40"/>
      <c r="G33" s="40"/>
      <c r="H33" s="40"/>
      <c r="I33" s="40"/>
      <c r="J33" s="40"/>
      <c r="K33" s="40"/>
      <c r="L33" s="40"/>
      <c r="M33" s="40"/>
      <c r="N33" s="40"/>
      <c r="O33" s="40"/>
    </row>
    <row r="34" spans="2:15" x14ac:dyDescent="0.15">
      <c r="B34" s="40"/>
      <c r="C34" s="40"/>
      <c r="D34" s="40"/>
      <c r="E34" s="40"/>
      <c r="F34" s="40"/>
      <c r="G34" s="40"/>
      <c r="H34" s="40"/>
      <c r="I34" s="40"/>
      <c r="J34" s="40"/>
      <c r="K34" s="40"/>
      <c r="L34" s="40"/>
      <c r="M34" s="40"/>
      <c r="N34" s="40"/>
      <c r="O34" s="40"/>
    </row>
    <row r="35" spans="2:15" x14ac:dyDescent="0.15">
      <c r="B35" s="40"/>
      <c r="C35" s="40"/>
      <c r="D35" s="40"/>
      <c r="E35" s="40"/>
      <c r="F35" s="40"/>
      <c r="G35" s="40"/>
      <c r="H35" s="40"/>
      <c r="I35" s="40"/>
      <c r="J35" s="40"/>
      <c r="K35" s="40"/>
      <c r="L35" s="40"/>
      <c r="M35" s="40"/>
      <c r="N35" s="40"/>
      <c r="O35" s="40"/>
    </row>
    <row r="36" spans="2:15" x14ac:dyDescent="0.15">
      <c r="B36" s="40"/>
      <c r="C36" s="40"/>
      <c r="D36" s="40"/>
      <c r="E36" s="40"/>
      <c r="F36" s="40"/>
      <c r="G36" s="40"/>
      <c r="H36" s="40"/>
      <c r="I36" s="40"/>
      <c r="J36" s="40"/>
      <c r="K36" s="40"/>
      <c r="L36" s="40"/>
      <c r="M36" s="40"/>
      <c r="N36" s="40"/>
      <c r="O36" s="40"/>
    </row>
    <row r="37" spans="2:15" x14ac:dyDescent="0.15">
      <c r="B37" s="40"/>
      <c r="C37" s="40"/>
      <c r="D37" s="40"/>
      <c r="E37" s="40"/>
      <c r="F37" s="40"/>
      <c r="G37" s="40"/>
      <c r="H37" s="40"/>
      <c r="I37" s="40"/>
      <c r="J37" s="76"/>
      <c r="K37" s="76"/>
      <c r="L37" s="76"/>
      <c r="M37" s="76"/>
      <c r="N37" s="76"/>
      <c r="O37" s="76"/>
    </row>
    <row r="38" spans="2:15" x14ac:dyDescent="0.15">
      <c r="B38" s="40"/>
      <c r="C38" s="40"/>
      <c r="D38" s="40"/>
      <c r="E38" s="40"/>
      <c r="F38" s="40"/>
      <c r="G38" s="40"/>
      <c r="H38" s="40"/>
      <c r="I38" s="40"/>
      <c r="J38" s="40"/>
      <c r="K38" s="40"/>
      <c r="L38" s="40"/>
      <c r="M38" s="40"/>
      <c r="N38" s="40"/>
      <c r="O38" s="40"/>
    </row>
    <row r="39" spans="2:15" x14ac:dyDescent="0.15">
      <c r="B39" s="40"/>
      <c r="C39" s="40"/>
      <c r="D39" s="40"/>
      <c r="E39" s="40"/>
      <c r="F39" s="40"/>
      <c r="G39" s="40"/>
      <c r="H39" s="40"/>
      <c r="I39" s="40"/>
      <c r="J39" s="40"/>
      <c r="K39" s="40"/>
      <c r="L39" s="40"/>
      <c r="M39" s="40"/>
      <c r="N39" s="40"/>
      <c r="O39" s="40"/>
    </row>
    <row r="40" spans="2:15" x14ac:dyDescent="0.15">
      <c r="B40" s="40"/>
      <c r="C40" s="40"/>
      <c r="D40" s="40"/>
      <c r="E40" s="40"/>
      <c r="F40" s="40"/>
      <c r="G40" s="40"/>
      <c r="H40" s="40"/>
      <c r="I40" s="40"/>
      <c r="J40" s="40"/>
      <c r="K40" s="40"/>
      <c r="L40" s="40"/>
      <c r="M40" s="40"/>
      <c r="N40" s="40"/>
      <c r="O40" s="40"/>
    </row>
    <row r="41" spans="2:15" x14ac:dyDescent="0.15">
      <c r="B41" s="40"/>
      <c r="C41" s="40"/>
      <c r="D41" s="40"/>
      <c r="E41" s="40"/>
      <c r="F41" s="40"/>
      <c r="G41" s="40"/>
      <c r="H41" s="40"/>
      <c r="I41" s="40"/>
      <c r="J41" s="40"/>
      <c r="K41" s="40"/>
      <c r="L41" s="40"/>
      <c r="M41" s="40"/>
      <c r="N41" s="40"/>
      <c r="O41" s="40"/>
    </row>
    <row r="42" spans="2:15" x14ac:dyDescent="0.15">
      <c r="B42" s="40"/>
      <c r="C42" s="40"/>
      <c r="D42" s="40"/>
      <c r="E42" s="40"/>
      <c r="F42" s="40"/>
      <c r="G42" s="40"/>
      <c r="H42" s="40"/>
      <c r="I42" s="40"/>
      <c r="J42" s="40"/>
      <c r="K42" s="40"/>
      <c r="L42" s="40"/>
      <c r="M42" s="40"/>
      <c r="N42" s="40"/>
      <c r="O42" s="40"/>
    </row>
    <row r="43" spans="2:15" x14ac:dyDescent="0.15">
      <c r="B43" s="40"/>
      <c r="C43" s="40"/>
      <c r="D43" s="40"/>
      <c r="E43" s="40"/>
      <c r="F43" s="40"/>
      <c r="G43" s="40"/>
      <c r="H43" s="40"/>
      <c r="I43" s="40"/>
      <c r="J43" s="40"/>
      <c r="K43" s="40"/>
      <c r="L43" s="40"/>
      <c r="M43" s="40"/>
      <c r="N43" s="40"/>
      <c r="O43" s="40"/>
    </row>
    <row r="44" spans="2:15" x14ac:dyDescent="0.15">
      <c r="B44" s="40"/>
      <c r="C44" s="40"/>
      <c r="D44" s="40"/>
      <c r="E44" s="40"/>
      <c r="F44" s="40"/>
      <c r="G44" s="40"/>
      <c r="H44" s="40"/>
      <c r="I44" s="40"/>
      <c r="J44" s="40"/>
      <c r="K44" s="40"/>
      <c r="L44" s="40"/>
      <c r="M44" s="40"/>
      <c r="N44" s="40"/>
      <c r="O44" s="40"/>
    </row>
    <row r="45" spans="2:15" x14ac:dyDescent="0.15">
      <c r="B45" s="40"/>
      <c r="C45" s="40"/>
      <c r="D45" s="40"/>
      <c r="E45" s="40"/>
      <c r="F45" s="40"/>
      <c r="G45" s="40"/>
      <c r="H45" s="40"/>
      <c r="I45" s="40"/>
      <c r="J45" s="40"/>
      <c r="K45" s="40"/>
      <c r="L45" s="40"/>
      <c r="M45" s="40"/>
      <c r="N45" s="40"/>
      <c r="O45" s="40"/>
    </row>
    <row r="46" spans="2:15" x14ac:dyDescent="0.15">
      <c r="B46" s="40"/>
      <c r="C46" s="40"/>
      <c r="D46" s="40"/>
      <c r="E46" s="40"/>
      <c r="F46" s="40"/>
      <c r="G46" s="40"/>
      <c r="H46" s="40"/>
      <c r="I46" s="40"/>
      <c r="J46" s="76"/>
      <c r="K46" s="76"/>
      <c r="L46" s="76"/>
      <c r="M46" s="76"/>
      <c r="N46" s="76"/>
      <c r="O46" s="76"/>
    </row>
    <row r="49" spans="1:15" x14ac:dyDescent="0.15">
      <c r="A49" s="44"/>
    </row>
    <row r="51" spans="1:15" x14ac:dyDescent="0.15">
      <c r="A51" s="44"/>
    </row>
    <row r="52" spans="1:15" x14ac:dyDescent="0.15">
      <c r="A52" s="58"/>
      <c r="B52" s="42"/>
      <c r="C52" s="42"/>
      <c r="D52" s="42"/>
      <c r="E52" s="42"/>
      <c r="F52" s="42"/>
      <c r="G52" s="42"/>
      <c r="H52" s="42"/>
      <c r="I52" s="42"/>
      <c r="J52" s="42"/>
      <c r="K52" s="42"/>
      <c r="L52" s="42"/>
      <c r="M52" s="42"/>
      <c r="N52" s="42"/>
      <c r="O52" s="42"/>
    </row>
    <row r="53" spans="1:15" x14ac:dyDescent="0.15">
      <c r="A53" s="58"/>
      <c r="B53" s="42"/>
      <c r="C53" s="42"/>
      <c r="D53" s="42"/>
      <c r="E53" s="42"/>
      <c r="F53" s="42"/>
      <c r="G53" s="42"/>
      <c r="H53" s="42"/>
      <c r="I53" s="42"/>
      <c r="J53" s="42"/>
      <c r="K53" s="42"/>
      <c r="L53" s="42"/>
      <c r="M53" s="42"/>
      <c r="N53" s="42"/>
      <c r="O53" s="42"/>
    </row>
    <row r="54" spans="1:15" x14ac:dyDescent="0.15">
      <c r="A54" s="58"/>
      <c r="B54" s="42"/>
      <c r="C54" s="42"/>
      <c r="D54" s="42"/>
      <c r="E54" s="42"/>
      <c r="F54" s="42"/>
      <c r="G54" s="42"/>
      <c r="H54" s="42"/>
      <c r="I54" s="42"/>
      <c r="J54" s="42"/>
      <c r="K54" s="42"/>
      <c r="L54" s="42"/>
      <c r="M54" s="42"/>
      <c r="N54" s="42"/>
      <c r="O54" s="42"/>
    </row>
    <row r="56" spans="1:15" x14ac:dyDescent="0.15">
      <c r="A56" s="44"/>
    </row>
    <row r="57" spans="1:15" x14ac:dyDescent="0.15">
      <c r="A57" s="58"/>
      <c r="B57" s="42"/>
      <c r="C57" s="42"/>
      <c r="D57" s="42"/>
      <c r="E57" s="42"/>
      <c r="F57" s="42"/>
      <c r="G57" s="42"/>
      <c r="H57" s="42"/>
      <c r="I57" s="42"/>
      <c r="J57" s="42"/>
      <c r="K57" s="42"/>
      <c r="L57" s="42"/>
      <c r="M57" s="42"/>
      <c r="N57" s="42"/>
      <c r="O57" s="42"/>
    </row>
    <row r="58" spans="1:15" x14ac:dyDescent="0.15">
      <c r="A58" s="58"/>
      <c r="B58" s="42"/>
      <c r="C58" s="42"/>
      <c r="D58" s="42"/>
      <c r="E58" s="42"/>
      <c r="F58" s="42"/>
      <c r="G58" s="42"/>
      <c r="H58" s="42"/>
      <c r="I58" s="42"/>
      <c r="J58" s="42"/>
      <c r="K58" s="42"/>
      <c r="L58" s="42"/>
      <c r="M58" s="42"/>
      <c r="N58" s="42"/>
      <c r="O58" s="42"/>
    </row>
    <row r="59" spans="1:15" x14ac:dyDescent="0.15">
      <c r="A59" s="58"/>
      <c r="B59" s="42"/>
      <c r="C59" s="42"/>
      <c r="D59" s="42"/>
      <c r="E59" s="42"/>
      <c r="F59" s="42"/>
      <c r="G59" s="42"/>
      <c r="H59" s="42"/>
      <c r="I59" s="42"/>
      <c r="J59" s="42"/>
      <c r="K59" s="42"/>
      <c r="L59" s="42"/>
      <c r="M59" s="42"/>
      <c r="N59" s="42"/>
      <c r="O59" s="42"/>
    </row>
  </sheetData>
  <phoneticPr fontId="0" type="noConversion"/>
  <pageMargins left="0.75" right="0.75" top="1" bottom="1" header="0.5" footer="0.5"/>
  <pageSetup scale="65" orientation="landscape"/>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4"/>
  <sheetViews>
    <sheetView workbookViewId="0">
      <selection activeCell="C16" sqref="C16"/>
    </sheetView>
  </sheetViews>
  <sheetFormatPr baseColWidth="10" defaultRowHeight="13" x14ac:dyDescent="0.15"/>
  <cols>
    <col min="1" max="1" width="8.83203125" customWidth="1"/>
    <col min="2" max="2" width="20.5" customWidth="1"/>
    <col min="3" max="3" width="10.5" style="42" customWidth="1"/>
    <col min="4" max="7" width="10.5" customWidth="1"/>
    <col min="8" max="8" width="10.33203125" customWidth="1"/>
    <col min="9" max="9" width="9.5" bestFit="1" customWidth="1"/>
    <col min="10" max="10" width="8.83203125" customWidth="1"/>
    <col min="11" max="11" width="10.83203125" customWidth="1"/>
    <col min="12" max="256" width="8.83203125" customWidth="1"/>
  </cols>
  <sheetData>
    <row r="1" spans="1:16" s="43" customFormat="1" ht="16" x14ac:dyDescent="0.2">
      <c r="A1" s="43" t="s">
        <v>101</v>
      </c>
      <c r="C1" s="45"/>
      <c r="F1" s="61"/>
      <c r="G1" s="61"/>
    </row>
    <row r="4" spans="1:16" s="44" customFormat="1" x14ac:dyDescent="0.15">
      <c r="B4" s="44" t="s">
        <v>45</v>
      </c>
      <c r="C4" s="83" t="s">
        <v>47</v>
      </c>
      <c r="D4" s="56" t="s">
        <v>34</v>
      </c>
      <c r="E4" s="56" t="s">
        <v>46</v>
      </c>
      <c r="F4" s="60"/>
    </row>
    <row r="5" spans="1:16" x14ac:dyDescent="0.15">
      <c r="D5" s="40"/>
      <c r="E5" s="40"/>
      <c r="F5" s="42"/>
      <c r="G5" s="40"/>
      <c r="H5" s="40"/>
      <c r="I5" s="40"/>
      <c r="J5" s="40"/>
    </row>
    <row r="6" spans="1:16" x14ac:dyDescent="0.15">
      <c r="B6" s="58" t="s">
        <v>100</v>
      </c>
      <c r="C6" s="11">
        <v>0.37409680000000001</v>
      </c>
      <c r="D6" s="11">
        <v>4.7450100000000002E-2</v>
      </c>
      <c r="E6" s="40">
        <f>EXP(C6)</f>
        <v>1.4536778596632325</v>
      </c>
      <c r="I6" s="40"/>
      <c r="J6" s="40"/>
    </row>
    <row r="7" spans="1:16" x14ac:dyDescent="0.15">
      <c r="B7" s="58" t="s">
        <v>94</v>
      </c>
      <c r="C7" s="11">
        <v>-5.4909350000000003</v>
      </c>
      <c r="D7" s="11">
        <v>0.20789199999999999</v>
      </c>
      <c r="E7" s="40">
        <f>EXP(C7)</f>
        <v>4.1239864437225739E-3</v>
      </c>
      <c r="I7" s="40"/>
      <c r="J7" s="40"/>
    </row>
    <row r="8" spans="1:16" x14ac:dyDescent="0.15">
      <c r="B8" s="58" t="s">
        <v>7</v>
      </c>
      <c r="C8" s="11">
        <v>-3.6702199999999997E-2</v>
      </c>
      <c r="D8" s="11">
        <v>5.2112E-3</v>
      </c>
      <c r="E8" s="40">
        <f>EXP(C8)</f>
        <v>0.96396316083813449</v>
      </c>
      <c r="I8" s="40"/>
      <c r="J8" s="40"/>
    </row>
    <row r="9" spans="1:16" x14ac:dyDescent="0.15">
      <c r="B9" s="58" t="s">
        <v>44</v>
      </c>
      <c r="C9" s="11">
        <v>0.768536</v>
      </c>
      <c r="D9" s="11">
        <v>0.109066</v>
      </c>
      <c r="E9" s="40">
        <f>EXP(C9)</f>
        <v>2.1566066693694932</v>
      </c>
      <c r="I9" s="40"/>
      <c r="J9" s="40"/>
    </row>
    <row r="10" spans="1:16" x14ac:dyDescent="0.15">
      <c r="B10" s="58" t="s">
        <v>87</v>
      </c>
      <c r="C10" s="11">
        <v>-1.3444739999999999</v>
      </c>
      <c r="D10" s="11">
        <v>0.38258150000000002</v>
      </c>
      <c r="E10" s="40">
        <f>EXP(C10)</f>
        <v>0.26067678779517234</v>
      </c>
      <c r="I10" s="40"/>
      <c r="J10" s="40"/>
    </row>
    <row r="11" spans="1:16" x14ac:dyDescent="0.15">
      <c r="B11" s="58"/>
      <c r="C11" s="11"/>
      <c r="D11" s="11"/>
      <c r="E11" s="40"/>
      <c r="F11" s="40"/>
      <c r="G11" s="40"/>
      <c r="H11" s="40"/>
      <c r="I11" s="40"/>
      <c r="J11" s="40"/>
      <c r="K11" s="42"/>
      <c r="L11" s="40"/>
      <c r="M11" s="40"/>
      <c r="N11" s="40"/>
      <c r="O11" s="40"/>
    </row>
    <row r="12" spans="1:16" x14ac:dyDescent="0.15">
      <c r="B12" s="44"/>
      <c r="K12" s="42"/>
    </row>
    <row r="13" spans="1:16" x14ac:dyDescent="0.15">
      <c r="B13" s="44" t="s">
        <v>49</v>
      </c>
      <c r="J13" s="44" t="s">
        <v>142</v>
      </c>
      <c r="K13" s="42"/>
    </row>
    <row r="14" spans="1:16" x14ac:dyDescent="0.15">
      <c r="K14" s="42"/>
    </row>
    <row r="15" spans="1:16" x14ac:dyDescent="0.15">
      <c r="C15" t="s">
        <v>100</v>
      </c>
      <c r="D15" t="s">
        <v>94</v>
      </c>
      <c r="E15" t="s">
        <v>7</v>
      </c>
      <c r="F15" t="s">
        <v>44</v>
      </c>
      <c r="G15" t="s">
        <v>87</v>
      </c>
      <c r="H15" t="s">
        <v>88</v>
      </c>
      <c r="K15" t="s">
        <v>100</v>
      </c>
      <c r="L15" t="s">
        <v>94</v>
      </c>
      <c r="M15" t="s">
        <v>7</v>
      </c>
      <c r="N15" t="s">
        <v>44</v>
      </c>
      <c r="O15" t="s">
        <v>87</v>
      </c>
      <c r="P15" t="s">
        <v>88</v>
      </c>
    </row>
    <row r="16" spans="1:16" x14ac:dyDescent="0.15">
      <c r="B16" s="58" t="s">
        <v>100</v>
      </c>
      <c r="C16" s="42">
        <f>D6^2</f>
        <v>2.2515119900100001E-3</v>
      </c>
      <c r="J16" s="58" t="s">
        <v>100</v>
      </c>
      <c r="K16">
        <f>C16/(SQRT(C$16)*SQRT(C16))</f>
        <v>1</v>
      </c>
    </row>
    <row r="17" spans="2:15" x14ac:dyDescent="0.15">
      <c r="B17" s="58" t="s">
        <v>94</v>
      </c>
      <c r="C17" s="42">
        <v>-5.6909999999999999E-3</v>
      </c>
      <c r="D17" s="42">
        <f>D7^2</f>
        <v>4.3219083663999999E-2</v>
      </c>
      <c r="J17" s="58" t="s">
        <v>94</v>
      </c>
      <c r="K17" s="40">
        <f>C17/(SQRT(C$16)*SQRT(D17))</f>
        <v>-0.5769174513170483</v>
      </c>
      <c r="L17">
        <f>D17/(SQRT(D$17)*SQRT(D17))</f>
        <v>1</v>
      </c>
    </row>
    <row r="18" spans="2:15" x14ac:dyDescent="0.15">
      <c r="B18" s="58" t="s">
        <v>7</v>
      </c>
      <c r="C18" s="42">
        <v>2.7999999999999999E-8</v>
      </c>
      <c r="D18" s="42">
        <v>-7.8299999999999995E-4</v>
      </c>
      <c r="E18" s="42">
        <f>D8^2</f>
        <v>2.715660544E-5</v>
      </c>
      <c r="J18" s="58" t="s">
        <v>7</v>
      </c>
      <c r="K18" s="40">
        <f>C18/(SQRT(C$16)*SQRT(E18))</f>
        <v>1.1323564496830159E-4</v>
      </c>
      <c r="L18" s="40">
        <f>D18/(SQRT(D$17)*SQRT(E18))</f>
        <v>-0.72274690985395751</v>
      </c>
      <c r="M18">
        <f>E18/(SQRT(E$18)*SQRT(E18))</f>
        <v>1</v>
      </c>
    </row>
    <row r="19" spans="2:15" x14ac:dyDescent="0.15">
      <c r="B19" s="58" t="s">
        <v>44</v>
      </c>
      <c r="C19" s="42">
        <v>5.1000000000000003E-6</v>
      </c>
      <c r="D19" s="42">
        <v>-7.247E-3</v>
      </c>
      <c r="E19" s="42">
        <v>3.3000000000000003E-5</v>
      </c>
      <c r="F19" s="42">
        <f>D9^2</f>
        <v>1.1895392356E-2</v>
      </c>
      <c r="J19" s="58" t="s">
        <v>44</v>
      </c>
      <c r="K19" s="40">
        <f>C19/(SQRT(C$16)*SQRT(F19))</f>
        <v>9.8547056847621381E-4</v>
      </c>
      <c r="L19" s="40">
        <f>D19/(SQRT(D$17)*SQRT(F19))</f>
        <v>-0.31961790338820517</v>
      </c>
      <c r="M19" s="40">
        <f>E19/(SQRT(E$18)*SQRT(F19))</f>
        <v>5.8061307685007078E-2</v>
      </c>
      <c r="N19">
        <f>F19/(SQRT(F$19)*SQRT(F19))</f>
        <v>1</v>
      </c>
    </row>
    <row r="20" spans="2:15" x14ac:dyDescent="0.15">
      <c r="B20" s="58" t="s">
        <v>87</v>
      </c>
      <c r="C20" s="42">
        <v>2.5900000000000001E-4</v>
      </c>
      <c r="D20" s="42">
        <v>-6.4199999999999999E-4</v>
      </c>
      <c r="E20" s="42">
        <v>-1.11E-4</v>
      </c>
      <c r="F20" s="42">
        <v>1.84E-4</v>
      </c>
      <c r="G20" s="42">
        <f>D10^2</f>
        <v>0.14636860414225</v>
      </c>
      <c r="J20" s="58" t="s">
        <v>87</v>
      </c>
      <c r="K20" s="40">
        <f>C20/(SQRT(C$16)*SQRT(G20))</f>
        <v>1.4267197278995515E-2</v>
      </c>
      <c r="L20" s="40">
        <f>D20/(SQRT(D$17)*SQRT(G20))</f>
        <v>-8.0718537614678058E-3</v>
      </c>
      <c r="M20" s="40">
        <f>E20/(SQRT(E$18)*SQRT(G20))</f>
        <v>-5.5675134129353133E-2</v>
      </c>
      <c r="N20" s="40">
        <f>F20/(SQRT(F$19)*SQRT(G20))</f>
        <v>4.4096535688349092E-3</v>
      </c>
      <c r="O20">
        <f>G20/(SQRT(G$20)*SQRT(G20))</f>
        <v>1</v>
      </c>
    </row>
    <row r="21" spans="2:15" x14ac:dyDescent="0.15">
      <c r="B21" s="58"/>
      <c r="D21" s="42"/>
      <c r="E21" s="42"/>
      <c r="F21" s="42"/>
      <c r="G21" s="42"/>
      <c r="H21" s="42"/>
      <c r="J21" s="58"/>
      <c r="K21" s="40"/>
      <c r="L21" s="40"/>
      <c r="M21" s="40"/>
      <c r="N21" s="40"/>
      <c r="O21" s="40"/>
    </row>
    <row r="22" spans="2:15" x14ac:dyDescent="0.15">
      <c r="C22"/>
    </row>
    <row r="23" spans="2:15" x14ac:dyDescent="0.15">
      <c r="C23"/>
      <c r="L23" s="46"/>
    </row>
    <row r="24" spans="2:15" x14ac:dyDescent="0.15">
      <c r="B24" s="44" t="s">
        <v>51</v>
      </c>
      <c r="C24"/>
      <c r="L24" s="46"/>
    </row>
    <row r="25" spans="2:15" x14ac:dyDescent="0.15">
      <c r="B25" s="44"/>
      <c r="C25"/>
      <c r="L25" s="46"/>
    </row>
    <row r="26" spans="2:15" x14ac:dyDescent="0.15">
      <c r="C26" t="s">
        <v>100</v>
      </c>
      <c r="D26" t="s">
        <v>94</v>
      </c>
      <c r="E26" t="s">
        <v>7</v>
      </c>
      <c r="F26" t="s">
        <v>44</v>
      </c>
      <c r="G26" t="s">
        <v>87</v>
      </c>
      <c r="H26" t="s">
        <v>88</v>
      </c>
      <c r="L26" s="46"/>
    </row>
    <row r="27" spans="2:15" x14ac:dyDescent="0.15">
      <c r="B27" s="58" t="s">
        <v>100</v>
      </c>
      <c r="C27" s="127">
        <f>SQRT(C16)</f>
        <v>4.7450100000000002E-2</v>
      </c>
      <c r="L27" s="46"/>
    </row>
    <row r="28" spans="2:15" x14ac:dyDescent="0.15">
      <c r="B28" s="58" t="s">
        <v>94</v>
      </c>
      <c r="C28" s="127">
        <f>C17/a</f>
        <v>-0.1199365227892038</v>
      </c>
      <c r="D28" s="127">
        <f>SQRT(D17-b^2)</f>
        <v>0.16980669646758575</v>
      </c>
      <c r="L28" s="46"/>
    </row>
    <row r="29" spans="2:15" x14ac:dyDescent="0.15">
      <c r="B29" s="58" t="s">
        <v>7</v>
      </c>
      <c r="C29" s="127">
        <f>C18/a</f>
        <v>5.9009359305881333E-7</v>
      </c>
      <c r="D29" s="127">
        <f>(D18-b*d)/c_</f>
        <v>-4.6107087795314418E-3</v>
      </c>
      <c r="E29" s="127">
        <f>SQRT(E18-d^2-e^2)</f>
        <v>2.428573581784426E-3</v>
      </c>
      <c r="L29" s="46"/>
    </row>
    <row r="30" spans="2:15" x14ac:dyDescent="0.15">
      <c r="B30" s="58" t="s">
        <v>44</v>
      </c>
      <c r="C30" s="127">
        <f>C19/a</f>
        <v>1.0748133302142672E-4</v>
      </c>
      <c r="D30" s="127">
        <f>(D19-b*g)/c_</f>
        <v>-4.2602024614698128E-2</v>
      </c>
      <c r="E30" s="127">
        <f>(E19-d*g-e*h)/f</f>
        <v>-6.729283130090305E-2</v>
      </c>
      <c r="F30" s="127">
        <f>SQRT(F19-g^2-h^2-i^2)</f>
        <v>7.4512570469685901E-2</v>
      </c>
    </row>
    <row r="31" spans="2:15" x14ac:dyDescent="0.15">
      <c r="B31" s="58" t="s">
        <v>87</v>
      </c>
      <c r="C31" s="127">
        <f>C20/a</f>
        <v>5.4583657357940235E-3</v>
      </c>
      <c r="D31" s="127">
        <f>(D20-k*b)/c_</f>
        <v>7.4540090150598305E-5</v>
      </c>
      <c r="E31" s="127">
        <f>(E20-d*k-e*l)/f</f>
        <v>-4.5565651841298668E-2</v>
      </c>
      <c r="F31" s="127">
        <f>(F20-g*k-h*l-i*m)/j</f>
        <v>-3.8646537329077281E-2</v>
      </c>
      <c r="G31" s="127">
        <f>SQRT(G20-k^2-l^2-m^2-n^2)</f>
        <v>0.37784788123564894</v>
      </c>
    </row>
    <row r="32" spans="2:15" x14ac:dyDescent="0.15">
      <c r="B32" s="58"/>
      <c r="C32"/>
    </row>
    <row r="34" spans="2:7" x14ac:dyDescent="0.15">
      <c r="B34" s="44" t="s">
        <v>53</v>
      </c>
    </row>
    <row r="35" spans="2:7" x14ac:dyDescent="0.15">
      <c r="C35" s="112" t="s">
        <v>48</v>
      </c>
      <c r="D35" s="112"/>
      <c r="E35" s="112" t="s">
        <v>52</v>
      </c>
      <c r="F35" s="112"/>
      <c r="G35" s="112" t="s">
        <v>70</v>
      </c>
    </row>
    <row r="36" spans="2:7" x14ac:dyDescent="0.15">
      <c r="B36" s="58" t="s">
        <v>100</v>
      </c>
      <c r="C36" s="127">
        <f ca="1">NORMINV(RAND(),0,1)</f>
        <v>3.4150122764918821E-2</v>
      </c>
      <c r="E36" s="127">
        <f ca="1">a*C36</f>
        <v>1.6204267402076746E-3</v>
      </c>
      <c r="G36" s="127">
        <f ca="1">C6+E36</f>
        <v>0.37571722674020769</v>
      </c>
    </row>
    <row r="37" spans="2:7" x14ac:dyDescent="0.15">
      <c r="B37" s="58" t="s">
        <v>94</v>
      </c>
      <c r="C37" s="127">
        <f ca="1">NORMINV(RAND(),0,1)</f>
        <v>0.21365564526597297</v>
      </c>
      <c r="E37" s="127">
        <f ca="1">b*C36+c_*C37</f>
        <v>3.2184312327016448E-2</v>
      </c>
      <c r="G37" s="127">
        <f ca="1">C7+E37</f>
        <v>-5.4587506876729837</v>
      </c>
    </row>
    <row r="38" spans="2:7" x14ac:dyDescent="0.15">
      <c r="B38" s="58" t="s">
        <v>7</v>
      </c>
      <c r="C38" s="127">
        <f ca="1">NORMINV(RAND(),0,1)</f>
        <v>0.4180701327629523</v>
      </c>
      <c r="E38" s="127">
        <f ca="1">d*C36+e*C37+f*C38</f>
        <v>3.0230272105582221E-5</v>
      </c>
      <c r="G38" s="127">
        <f ca="1">C8+E38</f>
        <v>-3.6671969727894417E-2</v>
      </c>
    </row>
    <row r="39" spans="2:7" x14ac:dyDescent="0.15">
      <c r="B39" s="58" t="s">
        <v>44</v>
      </c>
      <c r="C39" s="127">
        <f ca="1">NORMINV(RAND(),0,1)</f>
        <v>1.443019051494465</v>
      </c>
      <c r="E39" s="127">
        <f ca="1">g*C36+h*C37+i*C38+j*C39</f>
        <v>7.0291443289644567E-2</v>
      </c>
      <c r="G39" s="127">
        <f ca="1">C9+E39</f>
        <v>0.83882744328964454</v>
      </c>
    </row>
    <row r="40" spans="2:7" x14ac:dyDescent="0.15">
      <c r="B40" s="58" t="s">
        <v>87</v>
      </c>
      <c r="C40" s="127">
        <f ca="1">NORMINV(RAND(),0,1)</f>
        <v>-2.741544309720613E-2</v>
      </c>
      <c r="E40" s="127">
        <f ca="1">k*C36+l*C37+m*C38+n*C39+o*C40</f>
        <v>-8.4973865071256052E-2</v>
      </c>
      <c r="G40" s="127">
        <f ca="1">C10+E40</f>
        <v>-1.4294478650712561</v>
      </c>
    </row>
    <row r="41" spans="2:7" x14ac:dyDescent="0.15">
      <c r="B41" s="58"/>
      <c r="D41" s="42"/>
      <c r="E41" s="42"/>
      <c r="F41" s="42"/>
      <c r="G41" s="42"/>
    </row>
    <row r="43" spans="2:7" x14ac:dyDescent="0.15">
      <c r="B43" s="44"/>
    </row>
    <row r="54" spans="2:2" x14ac:dyDescent="0.15">
      <c r="B54" t="s">
        <v>38</v>
      </c>
    </row>
  </sheetData>
  <phoneticPr fontId="0" type="noConversion"/>
  <pageMargins left="0.75" right="0.75" top="1" bottom="1" header="0.5" footer="0.5"/>
  <pageSetup orientation="portrait"/>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9"/>
  <sheetViews>
    <sheetView workbookViewId="0">
      <selection activeCell="C7" sqref="C7"/>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78</v>
      </c>
      <c r="B1" s="6"/>
    </row>
    <row r="2" spans="1:17" ht="16" x14ac:dyDescent="0.2">
      <c r="A2" s="6"/>
      <c r="B2" s="6"/>
    </row>
    <row r="3" spans="1:17" x14ac:dyDescent="0.15">
      <c r="D3" s="47"/>
      <c r="G3" s="23" t="s">
        <v>80</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103</v>
      </c>
      <c r="M4" s="20" t="s">
        <v>21</v>
      </c>
      <c r="N4" s="20" t="s">
        <v>30</v>
      </c>
      <c r="O4" s="20" t="s">
        <v>22</v>
      </c>
    </row>
    <row r="5" spans="1:17" x14ac:dyDescent="0.15">
      <c r="C5"/>
      <c r="D5"/>
      <c r="E5" s="33"/>
    </row>
    <row r="6" spans="1:17" x14ac:dyDescent="0.15">
      <c r="A6">
        <v>0</v>
      </c>
      <c r="G6" s="25">
        <v>1000</v>
      </c>
      <c r="H6" s="25"/>
      <c r="I6" s="25"/>
      <c r="J6" s="25"/>
      <c r="K6" s="25"/>
      <c r="L6" s="130">
        <f>SUM(G6:K6)</f>
        <v>1000</v>
      </c>
      <c r="M6" s="131">
        <f>(cStandard+cPrimary)*G6</f>
        <v>394000</v>
      </c>
      <c r="N6" s="29"/>
      <c r="O6" s="28"/>
      <c r="P6" s="29"/>
      <c r="Q6" s="29"/>
    </row>
    <row r="7" spans="1:17" x14ac:dyDescent="0.15">
      <c r="A7">
        <v>1</v>
      </c>
      <c r="C7" s="134">
        <f>1-EXP(lambda*(A6^gamma-A7^gamma))</f>
        <v>4.5587359988585874E-4</v>
      </c>
      <c r="E7" s="134">
        <f>IF(male=0,VLOOKUP(cycle+age,lifetable,3,1),IF(male=1,VLOOKUP(cycle+age,lifetable,2,1),"error"))</f>
        <v>6.7000000000000002E-3</v>
      </c>
      <c r="G7" s="25"/>
      <c r="H7" s="130">
        <f>G6*(1-omrPTHR)+H6*(1-standardRR-mr)</f>
        <v>980</v>
      </c>
      <c r="I7" s="130">
        <f>H6*standardRR+J6*rrr</f>
        <v>0</v>
      </c>
      <c r="J7" s="130">
        <f>I6*(1-mr-omrRTHR)+J6*(1-mr-rrr)</f>
        <v>0</v>
      </c>
      <c r="K7" s="130">
        <f>H6*mr+(I6+J6)*mr+G6*omrPTHR+I6*omrRTHR+K6</f>
        <v>20</v>
      </c>
      <c r="L7" s="130">
        <f t="shared" ref="L7:L66" si="0">SUM(G7:K7)</f>
        <v>1000</v>
      </c>
      <c r="M7" s="131">
        <f>(cPrimary*G7+cSuccess*H7+cRevision*I7+cSuccess*J7)/(1+cDR)^cycle</f>
        <v>0</v>
      </c>
      <c r="N7" s="132">
        <f>(J7+I7+H7)</f>
        <v>980</v>
      </c>
      <c r="O7" s="133">
        <f>(uSuccessP*H7+uRevision*Standard!I7+uSuccessR*Standard!J7)/(1+oDR)^cycle</f>
        <v>820.68965517241384</v>
      </c>
      <c r="P7" s="29"/>
      <c r="Q7" s="29"/>
    </row>
    <row r="8" spans="1:17" x14ac:dyDescent="0.15">
      <c r="A8">
        <v>2</v>
      </c>
      <c r="C8" s="134">
        <f t="shared" ref="C8:C66" si="1">1-EXP(lambda*(A7^gamma-A8^gamma))</f>
        <v>7.9265538125916635E-4</v>
      </c>
      <c r="E8" s="134">
        <f t="shared" ref="E8:E66" si="2">IF(male=0,VLOOKUP(cycle+age,lifetable,3,1),IF(male=1,VLOOKUP(cycle+age,lifetable,2,1),"error"))</f>
        <v>6.7000000000000002E-3</v>
      </c>
      <c r="G8" s="49"/>
      <c r="H8" s="130">
        <f t="shared" ref="H8:H66" si="3">G7*(1-omrPTHR)+H7*(1-standardRR-mr)</f>
        <v>972.65719772636601</v>
      </c>
      <c r="I8" s="130">
        <f t="shared" ref="I8:I66" si="4">H7*standardRR+J7*rrr</f>
        <v>0.77680227363398302</v>
      </c>
      <c r="J8" s="130">
        <f>I7*(1-mr-omrRTHR)+J7*(1-mr-rrr)</f>
        <v>0</v>
      </c>
      <c r="K8" s="130">
        <f t="shared" ref="K8:K66" si="5">H7*mr+(I7+J7)*mr+G7*omrPTHR+I7*omrRTHR+K7</f>
        <v>26.565999999999999</v>
      </c>
      <c r="L8" s="130">
        <f t="shared" si="0"/>
        <v>1000</v>
      </c>
      <c r="M8" s="131">
        <f t="shared" ref="M8:M63" si="6">(cPrimary*G8+cSuccess*H8+cRevision*I8+cSuccess*J8)/(1+cDR)^cycle</f>
        <v>3660.0135605360497</v>
      </c>
      <c r="N8" s="132">
        <f t="shared" ref="N8:N23" si="7">(J8+I8+H8)</f>
        <v>973.43399999999997</v>
      </c>
      <c r="O8" s="133">
        <f>(uSuccessP*H8+uRevision*Standard!I8+uSuccessR*Standard!J8)/(1+oDR)^cycle</f>
        <v>802.72916959839017</v>
      </c>
      <c r="P8" s="29"/>
      <c r="Q8" s="29"/>
    </row>
    <row r="9" spans="1:17" x14ac:dyDescent="0.15">
      <c r="A9">
        <v>3</v>
      </c>
      <c r="C9" s="134">
        <f t="shared" si="1"/>
        <v>1.0023202487118299E-3</v>
      </c>
      <c r="E9" s="134">
        <f t="shared" si="2"/>
        <v>6.7000000000000002E-3</v>
      </c>
      <c r="G9" s="25"/>
      <c r="H9" s="130">
        <f t="shared" si="3"/>
        <v>965.16548049726282</v>
      </c>
      <c r="I9" s="130">
        <f t="shared" si="4"/>
        <v>0.97491400433644271</v>
      </c>
      <c r="J9" s="130">
        <f t="shared" ref="J9:J66" si="8">I8*(1-mr-omrRTHR)+J8*(1-mr-rrr)</f>
        <v>0.75606165292795557</v>
      </c>
      <c r="K9" s="130">
        <f t="shared" si="5"/>
        <v>33.103543845472679</v>
      </c>
      <c r="L9" s="130">
        <f t="shared" si="0"/>
        <v>1000</v>
      </c>
      <c r="M9" s="131">
        <f t="shared" si="6"/>
        <v>4333.438626313271</v>
      </c>
      <c r="N9" s="132">
        <f t="shared" si="7"/>
        <v>966.89645615452719</v>
      </c>
      <c r="O9" s="133">
        <f>(uSuccessP*H9+uRevision*Standard!I9+uSuccessR*Standard!J9)/(1+oDR)^cycle</f>
        <v>785.3755021601844</v>
      </c>
      <c r="P9" s="29"/>
      <c r="Q9" s="29"/>
    </row>
    <row r="10" spans="1:17" x14ac:dyDescent="0.15">
      <c r="A10">
        <v>4</v>
      </c>
      <c r="C10" s="134">
        <f t="shared" si="1"/>
        <v>1.1684809383689654E-3</v>
      </c>
      <c r="E10" s="134">
        <f t="shared" si="2"/>
        <v>6.7000000000000002E-3</v>
      </c>
      <c r="G10" s="25"/>
      <c r="H10" s="130">
        <f t="shared" si="3"/>
        <v>957.57109431159836</v>
      </c>
      <c r="I10" s="130">
        <f t="shared" si="4"/>
        <v>1.1580199324498932</v>
      </c>
      <c r="J10" s="130">
        <f t="shared" si="8"/>
        <v>1.6696373741568795</v>
      </c>
      <c r="K10" s="130">
        <f t="shared" si="5"/>
        <v>39.60124838179474</v>
      </c>
      <c r="L10" s="130">
        <f t="shared" si="0"/>
        <v>999.99999999999989</v>
      </c>
      <c r="M10" s="131">
        <f t="shared" si="6"/>
        <v>4855.975765601087</v>
      </c>
      <c r="N10" s="132">
        <f t="shared" si="7"/>
        <v>960.3987516182051</v>
      </c>
      <c r="O10" s="133">
        <f>(uSuccessP*H10+uRevision*Standard!I10+uSuccessR*Standard!J10)/(1+oDR)^cycle</f>
        <v>768.38427671175577</v>
      </c>
      <c r="P10" s="29"/>
      <c r="Q10" s="29"/>
    </row>
    <row r="11" spans="1:17" x14ac:dyDescent="0.15">
      <c r="A11">
        <v>5</v>
      </c>
      <c r="C11" s="134">
        <f t="shared" si="1"/>
        <v>1.309944799567142E-3</v>
      </c>
      <c r="E11" s="134">
        <f t="shared" si="2"/>
        <v>1.9300000000000001E-2</v>
      </c>
      <c r="G11" s="25"/>
      <c r="H11" s="130">
        <f t="shared" si="3"/>
        <v>937.83560691617527</v>
      </c>
      <c r="I11" s="130">
        <f t="shared" si="4"/>
        <v>1.3211507701755707</v>
      </c>
      <c r="J11" s="130">
        <f t="shared" si="8"/>
        <v>2.6831376269739886</v>
      </c>
      <c r="K11" s="130">
        <f t="shared" si="5"/>
        <v>58.160104686675098</v>
      </c>
      <c r="L11" s="130">
        <f t="shared" si="0"/>
        <v>1000</v>
      </c>
      <c r="M11" s="131">
        <f t="shared" si="6"/>
        <v>5226.4523219268867</v>
      </c>
      <c r="N11" s="132">
        <f t="shared" si="7"/>
        <v>941.83989531332486</v>
      </c>
      <c r="O11" s="133">
        <f>(uSuccessP*H11+uRevision*Standard!I11+uSuccessR*Standard!J11)/(1+oDR)^cycle</f>
        <v>742.20814701324616</v>
      </c>
      <c r="P11" s="29"/>
      <c r="Q11" s="29"/>
    </row>
    <row r="12" spans="1:17" x14ac:dyDescent="0.15">
      <c r="A12">
        <v>6</v>
      </c>
      <c r="C12" s="134">
        <f t="shared" si="1"/>
        <v>1.4349523261396602E-3</v>
      </c>
      <c r="E12" s="134">
        <f t="shared" si="2"/>
        <v>1.9300000000000001E-2</v>
      </c>
      <c r="G12" s="25"/>
      <c r="H12" s="130">
        <f t="shared" si="3"/>
        <v>918.38963031701212</v>
      </c>
      <c r="I12" s="130">
        <f t="shared" si="4"/>
        <v>1.4530748907599254</v>
      </c>
      <c r="J12" s="130">
        <f t="shared" si="8"/>
        <v>3.7932571106021018</v>
      </c>
      <c r="K12" s="130">
        <f t="shared" si="5"/>
        <v>76.364037681625774</v>
      </c>
      <c r="L12" s="130">
        <f t="shared" si="0"/>
        <v>999.99999999999989</v>
      </c>
      <c r="M12" s="131">
        <f t="shared" si="6"/>
        <v>5422.964276772298</v>
      </c>
      <c r="N12" s="132">
        <f t="shared" si="7"/>
        <v>923.63596231837414</v>
      </c>
      <c r="O12" s="133">
        <f>(uSuccessP*H12+uRevision*Standard!I12+uSuccessR*Standard!J12)/(1+oDR)^cycle</f>
        <v>716.92064592641054</v>
      </c>
      <c r="P12" s="29"/>
      <c r="Q12" s="29"/>
    </row>
    <row r="13" spans="1:17" x14ac:dyDescent="0.15">
      <c r="A13">
        <v>7</v>
      </c>
      <c r="C13" s="134">
        <f t="shared" si="1"/>
        <v>1.5479957647099862E-3</v>
      </c>
      <c r="E13" s="134">
        <f t="shared" si="2"/>
        <v>1.9300000000000001E-2</v>
      </c>
      <c r="G13" s="25"/>
      <c r="H13" s="130">
        <f t="shared" si="3"/>
        <v>899.2430471938095</v>
      </c>
      <c r="I13" s="130">
        <f t="shared" si="4"/>
        <v>1.5733935425083887</v>
      </c>
      <c r="J13" s="130">
        <f t="shared" si="8"/>
        <v>4.9642860114964575</v>
      </c>
      <c r="K13" s="130">
        <f t="shared" si="5"/>
        <v>94.219273252185587</v>
      </c>
      <c r="L13" s="130">
        <f t="shared" si="0"/>
        <v>1000</v>
      </c>
      <c r="M13" s="131">
        <f t="shared" si="6"/>
        <v>5539.6234308472158</v>
      </c>
      <c r="N13" s="132">
        <f t="shared" si="7"/>
        <v>905.78072674781436</v>
      </c>
      <c r="O13" s="133">
        <f>(uSuccessP*H13+uRevision*Standard!I13+uSuccessR*Standard!J13)/(1+oDR)^cycle</f>
        <v>692.48578224922642</v>
      </c>
      <c r="P13" s="29"/>
      <c r="Q13" s="29"/>
    </row>
    <row r="14" spans="1:17" x14ac:dyDescent="0.15">
      <c r="A14">
        <v>8</v>
      </c>
      <c r="C14" s="134">
        <f t="shared" si="1"/>
        <v>1.6518431162551028E-3</v>
      </c>
      <c r="E14" s="134">
        <f t="shared" si="2"/>
        <v>1.9300000000000001E-2</v>
      </c>
      <c r="G14" s="25"/>
      <c r="H14" s="130">
        <f t="shared" si="3"/>
        <v>880.40224794562164</v>
      </c>
      <c r="I14" s="130">
        <f t="shared" si="4"/>
        <v>1.6839798778072153</v>
      </c>
      <c r="J14" s="130">
        <f>I13*(1-mr-omrRTHR)+J13*(1-mr-rrr)</f>
        <v>6.1814630273025273</v>
      </c>
      <c r="K14" s="130">
        <f t="shared" si="5"/>
        <v>111.73230914926857</v>
      </c>
      <c r="L14" s="130">
        <f t="shared" si="0"/>
        <v>1000</v>
      </c>
      <c r="M14" s="131">
        <f t="shared" si="6"/>
        <v>5593.3746858122431</v>
      </c>
      <c r="N14" s="132">
        <f t="shared" si="7"/>
        <v>888.26769085073136</v>
      </c>
      <c r="O14" s="133">
        <f>(uSuccessP*H14+uRevision*Standard!I14+uSuccessR*Standard!J14)/(1+oDR)^cycle</f>
        <v>668.87542000157657</v>
      </c>
      <c r="P14" s="29"/>
      <c r="Q14" s="29"/>
    </row>
    <row r="15" spans="1:17" x14ac:dyDescent="0.15">
      <c r="A15">
        <v>9</v>
      </c>
      <c r="C15" s="134">
        <f t="shared" si="1"/>
        <v>1.7483419148011103E-3</v>
      </c>
      <c r="E15" s="134">
        <f t="shared" si="2"/>
        <v>1.9300000000000001E-2</v>
      </c>
      <c r="G15" s="25"/>
      <c r="H15" s="130">
        <f t="shared" si="3"/>
        <v>861.8712404083027</v>
      </c>
      <c r="I15" s="130">
        <f t="shared" si="4"/>
        <v>1.7865026730605511</v>
      </c>
      <c r="J15" s="130">
        <f t="shared" si="8"/>
        <v>7.4327017383928791</v>
      </c>
      <c r="K15" s="130">
        <f t="shared" si="5"/>
        <v>128.90955518024384</v>
      </c>
      <c r="L15" s="130">
        <f t="shared" si="0"/>
        <v>1000</v>
      </c>
      <c r="M15" s="131">
        <f t="shared" si="6"/>
        <v>5598.0248234435003</v>
      </c>
      <c r="N15" s="132">
        <f t="shared" si="7"/>
        <v>871.09044481975616</v>
      </c>
      <c r="O15" s="133">
        <f>(uSuccessP*H15+uRevision*Standard!I15+uSuccessR*Standard!J15)/(1+oDR)^cycle</f>
        <v>646.06218993486425</v>
      </c>
      <c r="P15" s="29"/>
      <c r="Q15" s="29"/>
    </row>
    <row r="16" spans="1:17" x14ac:dyDescent="0.15">
      <c r="A16">
        <v>10</v>
      </c>
      <c r="C16" s="134">
        <f t="shared" si="1"/>
        <v>1.8387973086411158E-3</v>
      </c>
      <c r="E16" s="134">
        <f t="shared" si="2"/>
        <v>1.9300000000000001E-2</v>
      </c>
      <c r="G16" s="25"/>
      <c r="H16" s="130">
        <f t="shared" si="3"/>
        <v>843.65231895116449</v>
      </c>
      <c r="I16" s="130">
        <f t="shared" si="4"/>
        <v>1.8821145867936822</v>
      </c>
      <c r="J16" s="130">
        <f t="shared" si="8"/>
        <v>8.7082356433154526</v>
      </c>
      <c r="K16" s="130">
        <f t="shared" si="5"/>
        <v>145.75733081872636</v>
      </c>
      <c r="L16" s="130">
        <f t="shared" si="0"/>
        <v>1000</v>
      </c>
      <c r="M16" s="131">
        <f t="shared" si="6"/>
        <v>5563.797882824214</v>
      </c>
      <c r="N16" s="132">
        <f t="shared" si="7"/>
        <v>854.24266918127364</v>
      </c>
      <c r="O16" s="133">
        <f>(uSuccessP*H16+uRevision*Standard!I16+uSuccessR*Standard!J16)/(1+oDR)^cycle</f>
        <v>624.01965239035974</v>
      </c>
      <c r="P16" s="29"/>
      <c r="Q16" s="29"/>
    </row>
    <row r="17" spans="1:17" x14ac:dyDescent="0.15">
      <c r="A17">
        <v>11</v>
      </c>
      <c r="C17" s="134">
        <f t="shared" si="1"/>
        <v>1.9241713306532571E-3</v>
      </c>
      <c r="E17" s="134">
        <f t="shared" si="2"/>
        <v>1.9300000000000001E-2</v>
      </c>
      <c r="G17" s="25"/>
      <c r="H17" s="130">
        <f t="shared" si="3"/>
        <v>825.74649759024203</v>
      </c>
      <c r="I17" s="130">
        <f t="shared" si="4"/>
        <v>1.9716610308975864</v>
      </c>
      <c r="J17" s="130">
        <f t="shared" si="8"/>
        <v>9.9999847531995378</v>
      </c>
      <c r="K17" s="130">
        <f t="shared" si="5"/>
        <v>162.28185662566082</v>
      </c>
      <c r="L17" s="130">
        <f t="shared" si="0"/>
        <v>1000</v>
      </c>
      <c r="M17" s="131">
        <f t="shared" si="6"/>
        <v>5498.5942288891783</v>
      </c>
      <c r="N17" s="132">
        <f t="shared" si="7"/>
        <v>837.71814337433921</v>
      </c>
      <c r="O17" s="133">
        <f>(uSuccessP*H17+uRevision*Standard!I17+uSuccessR*Standard!J17)/(1+oDR)^cycle</f>
        <v>602.72222953283153</v>
      </c>
      <c r="P17" s="29"/>
      <c r="Q17" s="29"/>
    </row>
    <row r="18" spans="1:17" x14ac:dyDescent="0.15">
      <c r="A18">
        <v>12</v>
      </c>
      <c r="C18" s="134">
        <f t="shared" si="1"/>
        <v>2.0051969719669938E-3</v>
      </c>
      <c r="E18" s="134">
        <f t="shared" si="2"/>
        <v>1.9300000000000001E-2</v>
      </c>
      <c r="G18" s="25"/>
      <c r="H18" s="130">
        <f t="shared" si="3"/>
        <v>808.15380581017007</v>
      </c>
      <c r="I18" s="130">
        <f t="shared" si="4"/>
        <v>2.0557837667082852</v>
      </c>
      <c r="J18" s="130">
        <f>I17*(1-mr-omrRTHR)+J17*(1-mr-rrr)</f>
        <v>11.301160409718117</v>
      </c>
      <c r="K18" s="130">
        <f t="shared" si="5"/>
        <v>178.48925001340353</v>
      </c>
      <c r="L18" s="130">
        <f t="shared" si="0"/>
        <v>1000</v>
      </c>
      <c r="M18" s="131">
        <f t="shared" si="6"/>
        <v>5408.676246721453</v>
      </c>
      <c r="N18" s="132">
        <f t="shared" si="7"/>
        <v>821.51074998659647</v>
      </c>
      <c r="O18" s="133">
        <f>(uSuccessP*H18+uRevision*Standard!I18+uSuccessR*Standard!J18)/(1+oDR)^cycle</f>
        <v>582.14516723605914</v>
      </c>
      <c r="P18" s="29"/>
      <c r="Q18" s="29"/>
    </row>
    <row r="19" spans="1:17" x14ac:dyDescent="0.15">
      <c r="A19">
        <v>13</v>
      </c>
      <c r="C19" s="134">
        <f t="shared" si="1"/>
        <v>2.0824477370303685E-3</v>
      </c>
      <c r="E19" s="134">
        <f t="shared" si="2"/>
        <v>1.9300000000000001E-2</v>
      </c>
      <c r="G19" s="25"/>
      <c r="H19" s="130">
        <f t="shared" si="3"/>
        <v>790.87349929395191</v>
      </c>
      <c r="I19" s="130">
        <f t="shared" si="4"/>
        <v>2.1349844804705933</v>
      </c>
      <c r="J19" s="130">
        <f t="shared" si="8"/>
        <v>12.605993062098483</v>
      </c>
      <c r="K19" s="130">
        <f t="shared" si="5"/>
        <v>194.38552316347901</v>
      </c>
      <c r="L19" s="130">
        <f t="shared" si="0"/>
        <v>1000</v>
      </c>
      <c r="M19" s="131">
        <f t="shared" si="6"/>
        <v>5299.1036083132585</v>
      </c>
      <c r="N19" s="132">
        <f t="shared" si="7"/>
        <v>805.61447683652102</v>
      </c>
      <c r="O19" s="133">
        <f>(uSuccessP*H19+uRevision*Standard!I19+uSuccessR*Standard!J19)/(1+oDR)^cycle</f>
        <v>562.26450525096789</v>
      </c>
      <c r="P19" s="29"/>
      <c r="Q19" s="29"/>
    </row>
    <row r="20" spans="1:17" x14ac:dyDescent="0.15">
      <c r="A20">
        <v>14</v>
      </c>
      <c r="C20" s="134">
        <f t="shared" si="1"/>
        <v>2.1563822245680431E-3</v>
      </c>
      <c r="E20" s="134">
        <f t="shared" si="2"/>
        <v>1.9300000000000001E-2</v>
      </c>
      <c r="G20" s="25"/>
      <c r="H20" s="130">
        <f t="shared" si="3"/>
        <v>773.90421520181928</v>
      </c>
      <c r="I20" s="130">
        <f t="shared" si="4"/>
        <v>2.2096652782433441</v>
      </c>
      <c r="J20" s="130">
        <f t="shared" si="8"/>
        <v>13.909537263904141</v>
      </c>
      <c r="K20" s="130">
        <f t="shared" si="5"/>
        <v>209.97658225603328</v>
      </c>
      <c r="L20" s="130">
        <f t="shared" si="0"/>
        <v>1000</v>
      </c>
      <c r="M20" s="131">
        <f t="shared" si="6"/>
        <v>5174.0225201723997</v>
      </c>
      <c r="N20" s="132">
        <f t="shared" si="7"/>
        <v>790.02341774396677</v>
      </c>
      <c r="O20" s="133">
        <f>(uSuccessP*H20+uRevision*Standard!I20+uSuccessR*Standard!J20)/(1+oDR)^cycle</f>
        <v>543.0570516413095</v>
      </c>
      <c r="P20" s="29"/>
      <c r="Q20" s="29"/>
    </row>
    <row r="21" spans="1:17" x14ac:dyDescent="0.15">
      <c r="A21">
        <v>15</v>
      </c>
      <c r="C21" s="134">
        <f t="shared" si="1"/>
        <v>2.2273738841613877E-3</v>
      </c>
      <c r="E21" s="134">
        <f t="shared" si="2"/>
        <v>5.3499999999999999E-2</v>
      </c>
      <c r="G21" s="25"/>
      <c r="H21" s="130">
        <f t="shared" si="3"/>
        <v>730.77656565073903</v>
      </c>
      <c r="I21" s="130">
        <f t="shared" si="4"/>
        <v>2.2801555283391126</v>
      </c>
      <c r="J21" s="130">
        <f t="shared" si="8"/>
        <v>14.656250410021562</v>
      </c>
      <c r="K21" s="130">
        <f t="shared" si="5"/>
        <v>252.28702841090038</v>
      </c>
      <c r="L21" s="130">
        <f t="shared" si="0"/>
        <v>1000.0000000000001</v>
      </c>
      <c r="M21" s="131">
        <f t="shared" si="6"/>
        <v>5036.866370190045</v>
      </c>
      <c r="N21" s="132">
        <f t="shared" si="7"/>
        <v>747.71297158909965</v>
      </c>
      <c r="O21" s="133">
        <f>(uSuccessP*H21+uRevision*Standard!I21+uSuccessR*Standard!J21)/(1+oDR)^cycle</f>
        <v>506.17507912960684</v>
      </c>
      <c r="P21" s="29"/>
      <c r="Q21" s="29"/>
    </row>
    <row r="22" spans="1:17" x14ac:dyDescent="0.15">
      <c r="A22">
        <v>16</v>
      </c>
      <c r="C22" s="134">
        <f t="shared" si="1"/>
        <v>2.295731557633518E-3</v>
      </c>
      <c r="E22" s="134">
        <f t="shared" si="2"/>
        <v>5.3499999999999999E-2</v>
      </c>
      <c r="G22" s="25"/>
      <c r="H22" s="130">
        <f t="shared" si="3"/>
        <v>690.00235256508108</v>
      </c>
      <c r="I22" s="130">
        <f t="shared" si="4"/>
        <v>2.2639168397443066</v>
      </c>
      <c r="J22" s="130">
        <f>I21*(1-mr-omrRTHR)+J21*(1-mr-rrr)</f>
        <v>15.398455093690732</v>
      </c>
      <c r="K22" s="130">
        <f t="shared" si="5"/>
        <v>292.33527550148398</v>
      </c>
      <c r="L22" s="130">
        <f t="shared" si="0"/>
        <v>1000</v>
      </c>
      <c r="M22" s="131">
        <f t="shared" si="6"/>
        <v>4717.9198934770038</v>
      </c>
      <c r="N22" s="132">
        <f t="shared" si="7"/>
        <v>707.66472449851608</v>
      </c>
      <c r="O22" s="133">
        <f>(uSuccessP*H22+uRevision*Standard!I22+uSuccessR*Standard!J22)/(1+oDR)^cycle</f>
        <v>471.81783682194714</v>
      </c>
      <c r="P22" s="29"/>
      <c r="Q22" s="29"/>
    </row>
    <row r="23" spans="1:17" x14ac:dyDescent="0.15">
      <c r="A23">
        <v>17</v>
      </c>
      <c r="C23" s="134">
        <f t="shared" si="1"/>
        <v>2.361714067431353E-3</v>
      </c>
      <c r="E23" s="134">
        <f t="shared" si="2"/>
        <v>5.3499999999999999E-2</v>
      </c>
      <c r="G23" s="25"/>
      <c r="H23" s="130">
        <f t="shared" si="3"/>
        <v>651.45763844023554</v>
      </c>
      <c r="I23" s="130">
        <f t="shared" si="4"/>
        <v>2.2455264663613095</v>
      </c>
      <c r="J23" s="130">
        <f t="shared" si="8"/>
        <v>16.056218494453748</v>
      </c>
      <c r="K23" s="130">
        <f t="shared" si="5"/>
        <v>330.24061659894949</v>
      </c>
      <c r="L23" s="130">
        <f t="shared" si="0"/>
        <v>1000.0000000000001</v>
      </c>
      <c r="M23" s="131">
        <f t="shared" si="6"/>
        <v>4414.7122905252882</v>
      </c>
      <c r="N23" s="132">
        <f t="shared" si="7"/>
        <v>669.75938340105063</v>
      </c>
      <c r="O23" s="133">
        <f>(uSuccessP*H23+uRevision*Standard!I23+uSuccessR*Standard!J23)/(1+oDR)^cycle</f>
        <v>439.7871686565507</v>
      </c>
      <c r="P23" s="29"/>
      <c r="Q23" s="29"/>
    </row>
    <row r="24" spans="1:17" x14ac:dyDescent="0.15">
      <c r="A24">
        <v>18</v>
      </c>
      <c r="C24" s="134">
        <f t="shared" si="1"/>
        <v>2.425540832006079E-3</v>
      </c>
      <c r="E24" s="134">
        <f t="shared" si="2"/>
        <v>5.3499999999999999E-2</v>
      </c>
      <c r="G24" s="25"/>
      <c r="H24" s="130">
        <f t="shared" si="3"/>
        <v>615.02451768132391</v>
      </c>
      <c r="I24" s="130">
        <f t="shared" si="4"/>
        <v>2.2223858421371943</v>
      </c>
      <c r="J24" s="130">
        <f t="shared" si="8"/>
        <v>16.635442336306077</v>
      </c>
      <c r="K24" s="130">
        <f t="shared" si="5"/>
        <v>366.1176541402329</v>
      </c>
      <c r="L24" s="130">
        <f t="shared" si="0"/>
        <v>1000</v>
      </c>
      <c r="M24" s="131">
        <f t="shared" si="6"/>
        <v>4121.9035363292169</v>
      </c>
      <c r="N24" s="132">
        <f t="shared" ref="N24:N39" si="9">(J24+I24+H24)</f>
        <v>633.88234585976716</v>
      </c>
      <c r="O24" s="133">
        <f>(uSuccessP*H24+uRevision*Standard!I24+uSuccessR*Standard!J24)/(1+oDR)^cycle</f>
        <v>409.92693323031659</v>
      </c>
      <c r="P24" s="29"/>
      <c r="Q24" s="29"/>
    </row>
    <row r="25" spans="1:17" x14ac:dyDescent="0.15">
      <c r="A25">
        <v>19</v>
      </c>
      <c r="C25" s="134">
        <f t="shared" si="1"/>
        <v>2.4873997543983783E-3</v>
      </c>
      <c r="E25" s="134">
        <f t="shared" si="2"/>
        <v>5.3499999999999999E-2</v>
      </c>
      <c r="G25" s="25"/>
      <c r="H25" s="130">
        <f t="shared" si="3"/>
        <v>580.59089415114363</v>
      </c>
      <c r="I25" s="130">
        <f t="shared" si="4"/>
        <v>2.1952295276817493</v>
      </c>
      <c r="J25" s="130">
        <f t="shared" si="8"/>
        <v>17.13906896060157</v>
      </c>
      <c r="K25" s="130">
        <f t="shared" si="5"/>
        <v>400.07480736057317</v>
      </c>
      <c r="L25" s="130">
        <f t="shared" si="0"/>
        <v>1000</v>
      </c>
      <c r="M25" s="131">
        <f t="shared" si="6"/>
        <v>3841.0718641143972</v>
      </c>
      <c r="N25" s="132">
        <f t="shared" si="9"/>
        <v>599.925192639427</v>
      </c>
      <c r="O25" s="133">
        <f>(uSuccessP*H25+uRevision*Standard!I25+uSuccessR*Standard!J25)/(1+oDR)^cycle</f>
        <v>382.09039210874522</v>
      </c>
      <c r="P25" s="29"/>
      <c r="Q25" s="29"/>
    </row>
    <row r="26" spans="1:17" x14ac:dyDescent="0.15">
      <c r="A26">
        <v>20</v>
      </c>
      <c r="C26" s="134">
        <f t="shared" si="1"/>
        <v>2.5474531933036282E-3</v>
      </c>
      <c r="E26" s="134">
        <f t="shared" si="2"/>
        <v>5.3499999999999999E-2</v>
      </c>
      <c r="G26" s="25"/>
      <c r="H26" s="130">
        <f t="shared" si="3"/>
        <v>548.05025318674916</v>
      </c>
      <c r="I26" s="130">
        <f t="shared" si="4"/>
        <v>2.1645908857324025</v>
      </c>
      <c r="J26" s="130">
        <f t="shared" si="8"/>
        <v>17.570446170182464</v>
      </c>
      <c r="K26" s="130">
        <f t="shared" si="5"/>
        <v>432.21470975733615</v>
      </c>
      <c r="L26" s="130">
        <f t="shared" si="0"/>
        <v>1000.0000000000002</v>
      </c>
      <c r="M26" s="131">
        <f t="shared" si="6"/>
        <v>3573.0776726935896</v>
      </c>
      <c r="N26" s="132">
        <f t="shared" si="9"/>
        <v>567.78529024266402</v>
      </c>
      <c r="O26" s="133">
        <f>(uSuccessP*H26+uRevision*Standard!I26+uSuccessR*Standard!J26)/(1+oDR)^cycle</f>
        <v>356.14073138485799</v>
      </c>
      <c r="P26" s="29"/>
      <c r="Q26" s="29"/>
    </row>
    <row r="27" spans="1:17" x14ac:dyDescent="0.15">
      <c r="A27">
        <v>21</v>
      </c>
      <c r="C27" s="134">
        <f t="shared" si="1"/>
        <v>2.6058425566612975E-3</v>
      </c>
      <c r="E27" s="134">
        <f t="shared" si="2"/>
        <v>5.3499999999999999E-2</v>
      </c>
      <c r="G27" s="25"/>
      <c r="H27" s="130">
        <f t="shared" si="3"/>
        <v>517.301431968315</v>
      </c>
      <c r="I27" s="130">
        <f t="shared" si="4"/>
        <v>2.1309505197503285</v>
      </c>
      <c r="J27" s="130">
        <f t="shared" si="8"/>
        <v>17.933102908901475</v>
      </c>
      <c r="K27" s="130">
        <f t="shared" si="5"/>
        <v>462.63451460303332</v>
      </c>
      <c r="L27" s="130">
        <f t="shared" si="0"/>
        <v>1000</v>
      </c>
      <c r="M27" s="131">
        <f t="shared" si="6"/>
        <v>3318.4412404426357</v>
      </c>
      <c r="N27" s="132">
        <f t="shared" si="9"/>
        <v>537.36548539696685</v>
      </c>
      <c r="O27" s="133">
        <f>(uSuccessP*H27+uRevision*Standard!I27+uSuccessR*Standard!J27)/(1+oDR)^cycle</f>
        <v>331.95035279781411</v>
      </c>
      <c r="P27" s="29"/>
      <c r="Q27" s="29"/>
    </row>
    <row r="28" spans="1:17" x14ac:dyDescent="0.15">
      <c r="A28">
        <v>22</v>
      </c>
      <c r="C28" s="134">
        <f t="shared" si="1"/>
        <v>2.6626918868932758E-3</v>
      </c>
      <c r="E28" s="134">
        <f t="shared" si="2"/>
        <v>5.3499999999999999E-2</v>
      </c>
      <c r="G28" s="25"/>
      <c r="H28" s="130">
        <f t="shared" si="3"/>
        <v>488.24839103202987</v>
      </c>
      <c r="I28" s="130">
        <f t="shared" si="4"/>
        <v>2.0947384423363653</v>
      </c>
      <c r="J28" s="130">
        <f t="shared" si="8"/>
        <v>18.230683443467864</v>
      </c>
      <c r="K28" s="130">
        <f t="shared" si="5"/>
        <v>491.42618708216605</v>
      </c>
      <c r="L28" s="130">
        <f t="shared" si="0"/>
        <v>1000.0000000000002</v>
      </c>
      <c r="M28" s="131">
        <f t="shared" si="6"/>
        <v>3077.405346954466</v>
      </c>
      <c r="N28" s="132">
        <f t="shared" si="9"/>
        <v>508.57381291783412</v>
      </c>
      <c r="O28" s="133">
        <f>(uSuccessP*H28+uRevision*Standard!I28+uSuccessR*Standard!J28)/(1+oDR)^cycle</f>
        <v>309.4002579945431</v>
      </c>
      <c r="P28" s="29"/>
      <c r="Q28" s="29"/>
    </row>
    <row r="29" spans="1:17" x14ac:dyDescent="0.15">
      <c r="A29">
        <v>23</v>
      </c>
      <c r="C29" s="134">
        <f t="shared" si="1"/>
        <v>2.7181106954937695E-3</v>
      </c>
      <c r="E29" s="134">
        <f t="shared" si="2"/>
        <v>5.3499999999999999E-2</v>
      </c>
      <c r="G29" s="25"/>
      <c r="H29" s="130">
        <f t="shared" si="3"/>
        <v>460.79998893809449</v>
      </c>
      <c r="I29" s="130">
        <f t="shared" si="4"/>
        <v>2.0563405114604993</v>
      </c>
      <c r="J29" s="130">
        <f t="shared" si="8"/>
        <v>18.46688970832826</v>
      </c>
      <c r="K29" s="130">
        <f t="shared" si="5"/>
        <v>518.67678084211695</v>
      </c>
      <c r="L29" s="130">
        <f t="shared" si="0"/>
        <v>1000.0000000000002</v>
      </c>
      <c r="M29" s="131">
        <f t="shared" si="6"/>
        <v>2849.9947986614061</v>
      </c>
      <c r="N29" s="132">
        <f t="shared" si="9"/>
        <v>481.32321915788327</v>
      </c>
      <c r="O29" s="133">
        <f>(uSuccessP*H29+uRevision*Standard!I29+uSuccessR*Standard!J29)/(1+oDR)^cycle</f>
        <v>288.37947186424606</v>
      </c>
      <c r="P29" s="29"/>
      <c r="Q29" s="29"/>
    </row>
    <row r="30" spans="1:17" x14ac:dyDescent="0.15">
      <c r="A30">
        <v>24</v>
      </c>
      <c r="C30" s="134">
        <f t="shared" si="1"/>
        <v>2.7721962303374204E-3</v>
      </c>
      <c r="E30" s="134">
        <f t="shared" si="2"/>
        <v>5.3499999999999999E-2</v>
      </c>
      <c r="G30" s="25"/>
      <c r="H30" s="130">
        <f t="shared" si="3"/>
        <v>434.86976153763271</v>
      </c>
      <c r="I30" s="130">
        <f t="shared" si="4"/>
        <v>2.016103580606841</v>
      </c>
      <c r="J30" s="130">
        <f t="shared" si="8"/>
        <v>18.645435004467721</v>
      </c>
      <c r="K30" s="130">
        <f t="shared" si="5"/>
        <v>544.46869987729292</v>
      </c>
      <c r="L30" s="130">
        <f t="shared" si="0"/>
        <v>1000.0000000000002</v>
      </c>
      <c r="M30" s="131">
        <f t="shared" si="6"/>
        <v>2636.0643728226637</v>
      </c>
      <c r="N30" s="132">
        <f t="shared" si="9"/>
        <v>455.53130012270725</v>
      </c>
      <c r="O30" s="133">
        <f>(uSuccessP*H30+uRevision*Standard!I30+uSuccessR*Standard!J30)/(1+oDR)^cycle</f>
        <v>268.78450425433573</v>
      </c>
      <c r="P30" s="29"/>
      <c r="Q30" s="29"/>
    </row>
    <row r="31" spans="1:17" x14ac:dyDescent="0.15">
      <c r="A31">
        <v>25</v>
      </c>
      <c r="C31" s="134">
        <f t="shared" si="1"/>
        <v>2.8250353084126045E-3</v>
      </c>
      <c r="E31" s="134">
        <f t="shared" si="2"/>
        <v>0.15480000000000002</v>
      </c>
      <c r="G31" s="25"/>
      <c r="H31" s="130">
        <f t="shared" si="3"/>
        <v>366.32340002070237</v>
      </c>
      <c r="I31" s="130">
        <f t="shared" si="4"/>
        <v>1.974339831083491</v>
      </c>
      <c r="J31" s="130">
        <f t="shared" si="8"/>
        <v>16.676992940314172</v>
      </c>
      <c r="K31" s="130">
        <f t="shared" si="5"/>
        <v>615.02526720790013</v>
      </c>
      <c r="L31" s="130">
        <f t="shared" si="0"/>
        <v>1000.0000000000002</v>
      </c>
      <c r="M31" s="131">
        <f t="shared" si="6"/>
        <v>2435.3378161354999</v>
      </c>
      <c r="N31" s="132">
        <f t="shared" si="9"/>
        <v>384.97473279210004</v>
      </c>
      <c r="O31" s="133">
        <f>(uSuccessP*H31+uRevision*Standard!I31+uSuccessR*Standard!J31)/(1+oDR)^cycle</f>
        <v>223.63001870021876</v>
      </c>
      <c r="P31" s="29"/>
      <c r="Q31" s="29"/>
    </row>
    <row r="32" spans="1:17" x14ac:dyDescent="0.15">
      <c r="A32">
        <v>26</v>
      </c>
      <c r="C32" s="134">
        <f t="shared" si="1"/>
        <v>2.8767058115199973E-3</v>
      </c>
      <c r="E32" s="134">
        <f t="shared" si="2"/>
        <v>0.15480000000000002</v>
      </c>
      <c r="G32" s="25"/>
      <c r="H32" s="130">
        <f t="shared" si="3"/>
        <v>308.56273304376231</v>
      </c>
      <c r="I32" s="130">
        <f t="shared" si="4"/>
        <v>1.7208843713478861</v>
      </c>
      <c r="J32" s="130">
        <f t="shared" si="8"/>
        <v>15.057539944151065</v>
      </c>
      <c r="K32" s="130">
        <f t="shared" si="5"/>
        <v>674.65884264073884</v>
      </c>
      <c r="L32" s="130">
        <f t="shared" si="0"/>
        <v>1000.0000000000001</v>
      </c>
      <c r="M32" s="131">
        <f t="shared" si="6"/>
        <v>2002.548903038941</v>
      </c>
      <c r="N32" s="132">
        <f t="shared" si="9"/>
        <v>325.34115735926127</v>
      </c>
      <c r="O32" s="133">
        <f>(uSuccessP*H32+uRevision*Standard!I32+uSuccessR*Standard!J32)/(1+oDR)^cycle</f>
        <v>186.11120316046524</v>
      </c>
      <c r="P32" s="29"/>
      <c r="Q32" s="29"/>
    </row>
    <row r="33" spans="1:17" x14ac:dyDescent="0.15">
      <c r="A33">
        <v>27</v>
      </c>
      <c r="C33" s="134">
        <f t="shared" si="1"/>
        <v>2.9272779176283681E-3</v>
      </c>
      <c r="E33" s="134">
        <f t="shared" si="2"/>
        <v>0.15480000000000002</v>
      </c>
      <c r="G33" s="25"/>
      <c r="H33" s="130">
        <f t="shared" si="3"/>
        <v>259.89397309394582</v>
      </c>
      <c r="I33" s="130">
        <f t="shared" si="4"/>
        <v>1.5055504724081052</v>
      </c>
      <c r="J33" s="130">
        <f t="shared" si="8"/>
        <v>13.544404946266713</v>
      </c>
      <c r="K33" s="130">
        <f t="shared" si="5"/>
        <v>725.05607148737943</v>
      </c>
      <c r="L33" s="130">
        <f t="shared" si="0"/>
        <v>1000</v>
      </c>
      <c r="M33" s="131">
        <f t="shared" si="6"/>
        <v>1652.8022458225576</v>
      </c>
      <c r="N33" s="132">
        <f t="shared" si="9"/>
        <v>274.94392851262063</v>
      </c>
      <c r="O33" s="133">
        <f>(uSuccessP*H33+uRevision*Standard!I33+uSuccessR*Standard!J33)/(1+oDR)^cycle</f>
        <v>154.8834750464226</v>
      </c>
      <c r="P33" s="29"/>
      <c r="Q33" s="29"/>
    </row>
    <row r="34" spans="1:17" x14ac:dyDescent="0.15">
      <c r="A34">
        <v>28</v>
      </c>
      <c r="C34" s="134">
        <f t="shared" si="1"/>
        <v>2.9768151227684836E-3</v>
      </c>
      <c r="E34" s="134">
        <f t="shared" si="2"/>
        <v>0.15480000000000002</v>
      </c>
      <c r="G34" s="25"/>
      <c r="H34" s="130">
        <f t="shared" si="3"/>
        <v>218.88872974958056</v>
      </c>
      <c r="I34" s="130">
        <f t="shared" si="4"/>
        <v>1.3154325072731119</v>
      </c>
      <c r="J34" s="130">
        <f t="shared" si="8"/>
        <v>12.148335112565125</v>
      </c>
      <c r="K34" s="130">
        <f t="shared" si="5"/>
        <v>767.64750263058124</v>
      </c>
      <c r="L34" s="130">
        <f t="shared" si="0"/>
        <v>1000</v>
      </c>
      <c r="M34" s="131">
        <f t="shared" si="6"/>
        <v>1362.348693512844</v>
      </c>
      <c r="N34" s="132">
        <f t="shared" si="9"/>
        <v>232.35249736941881</v>
      </c>
      <c r="O34" s="133">
        <f>(uSuccessP*H34+uRevision*Standard!I34+uSuccessR*Standard!J34)/(1+oDR)^cycle</f>
        <v>128.89430693742838</v>
      </c>
      <c r="P34" s="29"/>
      <c r="Q34" s="29"/>
    </row>
    <row r="35" spans="1:17" x14ac:dyDescent="0.15">
      <c r="A35">
        <v>29</v>
      </c>
      <c r="C35" s="134">
        <f t="shared" si="1"/>
        <v>3.0253750953738168E-3</v>
      </c>
      <c r="E35" s="134">
        <f t="shared" si="2"/>
        <v>0.15480000000000002</v>
      </c>
      <c r="G35" s="25"/>
      <c r="H35" s="130">
        <f t="shared" si="3"/>
        <v>184.34253387270309</v>
      </c>
      <c r="I35" s="130">
        <f t="shared" si="4"/>
        <v>1.1481539161449958</v>
      </c>
      <c r="J35" s="130">
        <f t="shared" si="8"/>
        <v>10.867334337639209</v>
      </c>
      <c r="K35" s="130">
        <f t="shared" si="5"/>
        <v>803.6419778735127</v>
      </c>
      <c r="L35" s="130">
        <f t="shared" si="0"/>
        <v>1000</v>
      </c>
      <c r="M35" s="131">
        <f t="shared" si="6"/>
        <v>1121.796177276585</v>
      </c>
      <c r="N35" s="132">
        <f t="shared" si="9"/>
        <v>196.3580221264873</v>
      </c>
      <c r="O35" s="133">
        <f>(uSuccessP*H35+uRevision*Standard!I35+uSuccessR*Standard!J35)/(1+oDR)^cycle</f>
        <v>107.26505910107261</v>
      </c>
      <c r="P35" s="29"/>
      <c r="Q35" s="29"/>
    </row>
    <row r="36" spans="1:17" x14ac:dyDescent="0.15">
      <c r="A36">
        <v>30</v>
      </c>
      <c r="C36" s="134">
        <f t="shared" si="1"/>
        <v>3.0730103954259569E-3</v>
      </c>
      <c r="E36" s="134">
        <f t="shared" si="2"/>
        <v>0.15480000000000002</v>
      </c>
      <c r="G36" s="25"/>
      <c r="H36" s="130">
        <f t="shared" si="3"/>
        <v>155.23982310629867</v>
      </c>
      <c r="I36" s="130">
        <f t="shared" si="4"/>
        <v>1.0011798964155465</v>
      </c>
      <c r="J36" s="130">
        <f t="shared" si="8"/>
        <v>9.6978342202699412</v>
      </c>
      <c r="K36" s="130">
        <f t="shared" si="5"/>
        <v>834.06116277701585</v>
      </c>
      <c r="L36" s="130">
        <f t="shared" si="0"/>
        <v>1000</v>
      </c>
      <c r="M36" s="131">
        <f t="shared" si="6"/>
        <v>922.82658962205221</v>
      </c>
      <c r="N36" s="132">
        <f t="shared" si="9"/>
        <v>165.93883722298415</v>
      </c>
      <c r="O36" s="133">
        <f>(uSuccessP*H36+uRevision*Standard!I36+uSuccessR*Standard!J36)/(1+oDR)^cycle</f>
        <v>89.264503155612545</v>
      </c>
      <c r="P36" s="29"/>
      <c r="Q36" s="29"/>
    </row>
    <row r="37" spans="1:17" x14ac:dyDescent="0.15">
      <c r="A37">
        <v>31</v>
      </c>
      <c r="C37" s="134">
        <f t="shared" si="1"/>
        <v>3.1197690836320957E-3</v>
      </c>
      <c r="E37" s="134">
        <f t="shared" si="2"/>
        <v>0.15480000000000002</v>
      </c>
      <c r="G37" s="25"/>
      <c r="H37" s="130">
        <f t="shared" si="3"/>
        <v>130.72438608876809</v>
      </c>
      <c r="I37" s="130">
        <f t="shared" si="4"/>
        <v>0.87222576948634367</v>
      </c>
      <c r="J37" s="130">
        <f t="shared" si="8"/>
        <v>8.6348697646834651</v>
      </c>
      <c r="K37" s="130">
        <f t="shared" si="5"/>
        <v>859.76851837706215</v>
      </c>
      <c r="L37" s="130">
        <f t="shared" si="0"/>
        <v>1000</v>
      </c>
      <c r="M37" s="131">
        <f t="shared" si="6"/>
        <v>758.45711071669371</v>
      </c>
      <c r="N37" s="132">
        <f t="shared" si="9"/>
        <v>140.23148162293791</v>
      </c>
      <c r="O37" s="133">
        <f>(uSuccessP*H37+uRevision*Standard!I37+uSuccessR*Standard!J37)/(1+oDR)^cycle</f>
        <v>74.28401220552314</v>
      </c>
      <c r="P37" s="29"/>
      <c r="Q37" s="29"/>
    </row>
    <row r="38" spans="1:17" x14ac:dyDescent="0.15">
      <c r="A38">
        <v>32</v>
      </c>
      <c r="C38" s="134">
        <f t="shared" si="1"/>
        <v>3.1656952404857108E-3</v>
      </c>
      <c r="E38" s="134">
        <f t="shared" si="2"/>
        <v>0.15480000000000002</v>
      </c>
      <c r="G38" s="25"/>
      <c r="H38" s="130">
        <f t="shared" si="3"/>
        <v>110.07441755537015</v>
      </c>
      <c r="I38" s="130">
        <f t="shared" si="4"/>
        <v>0.75922835744396822</v>
      </c>
      <c r="J38" s="130">
        <f t="shared" si="8"/>
        <v>7.6725578395032565</v>
      </c>
      <c r="K38" s="130">
        <f t="shared" si="5"/>
        <v>881.49379624768267</v>
      </c>
      <c r="L38" s="130">
        <f t="shared" si="0"/>
        <v>1000</v>
      </c>
      <c r="M38" s="131">
        <f t="shared" si="6"/>
        <v>622.82877540729123</v>
      </c>
      <c r="N38" s="132">
        <f t="shared" si="9"/>
        <v>118.50620375231738</v>
      </c>
      <c r="O38" s="133">
        <f>(uSuccessP*H38+uRevision*Standard!I38+uSuccessR*Standard!J38)/(1+oDR)^cycle</f>
        <v>61.817014475277986</v>
      </c>
      <c r="P38" s="29"/>
      <c r="Q38" s="29"/>
    </row>
    <row r="39" spans="1:17" x14ac:dyDescent="0.15">
      <c r="A39">
        <v>33</v>
      </c>
      <c r="C39" s="134">
        <f t="shared" si="1"/>
        <v>3.2108294109639557E-3</v>
      </c>
      <c r="E39" s="134">
        <f t="shared" si="2"/>
        <v>0.15480000000000002</v>
      </c>
      <c r="G39" s="25"/>
      <c r="H39" s="130">
        <f t="shared" si="3"/>
        <v>92.681467540517332</v>
      </c>
      <c r="I39" s="130">
        <f t="shared" si="4"/>
        <v>0.66033249086163992</v>
      </c>
      <c r="J39" s="130">
        <f t="shared" si="8"/>
        <v>6.8044588129307844</v>
      </c>
      <c r="K39" s="130">
        <f t="shared" si="5"/>
        <v>899.85374115569027</v>
      </c>
      <c r="L39" s="130">
        <f t="shared" si="0"/>
        <v>1000</v>
      </c>
      <c r="M39" s="131">
        <f t="shared" si="6"/>
        <v>511.03782956089213</v>
      </c>
      <c r="N39" s="132">
        <f t="shared" si="9"/>
        <v>100.14625884430976</v>
      </c>
      <c r="O39" s="133">
        <f>(uSuccessP*H39+uRevision*Standard!I39+uSuccessR*Standard!J39)/(1+oDR)^cycle</f>
        <v>51.441885611153843</v>
      </c>
      <c r="P39" s="29"/>
      <c r="Q39" s="29"/>
    </row>
    <row r="40" spans="1:17" x14ac:dyDescent="0.15">
      <c r="A40">
        <v>34</v>
      </c>
      <c r="C40" s="134">
        <f t="shared" si="1"/>
        <v>3.2552089874650081E-3</v>
      </c>
      <c r="E40" s="134">
        <f t="shared" si="2"/>
        <v>0.15480000000000002</v>
      </c>
      <c r="G40" s="25"/>
      <c r="H40" s="130">
        <f t="shared" si="3"/>
        <v>78.03267881913591</v>
      </c>
      <c r="I40" s="130">
        <f t="shared" si="4"/>
        <v>0.57387589862656974</v>
      </c>
      <c r="J40" s="130">
        <f t="shared" si="8"/>
        <v>6.0238566076308926</v>
      </c>
      <c r="K40" s="130">
        <f t="shared" si="5"/>
        <v>915.36958867460669</v>
      </c>
      <c r="L40" s="130">
        <f t="shared" si="0"/>
        <v>1000</v>
      </c>
      <c r="M40" s="131">
        <f t="shared" si="6"/>
        <v>418.9888866451318</v>
      </c>
      <c r="N40" s="132">
        <f t="shared" ref="N40:N55" si="10">(J40+I40+H40)</f>
        <v>84.630411325393368</v>
      </c>
      <c r="O40" s="133">
        <f>(uSuccessP*H40+uRevision*Standard!I40+uSuccessR*Standard!J40)/(1+oDR)^cycle</f>
        <v>42.807707954557713</v>
      </c>
      <c r="P40" s="29"/>
      <c r="Q40" s="29"/>
    </row>
    <row r="41" spans="1:17" x14ac:dyDescent="0.15">
      <c r="A41">
        <v>35</v>
      </c>
      <c r="C41" s="134">
        <f t="shared" si="1"/>
        <v>3.2988685411393659E-3</v>
      </c>
      <c r="E41" s="134">
        <f t="shared" si="2"/>
        <v>0.15480000000000002</v>
      </c>
      <c r="G41" s="25"/>
      <c r="H41" s="130">
        <f t="shared" si="3"/>
        <v>65.695800588596384</v>
      </c>
      <c r="I41" s="130">
        <f t="shared" si="4"/>
        <v>0.49837381364251526</v>
      </c>
      <c r="J41" s="130">
        <f t="shared" si="8"/>
        <v>5.3239717320110396</v>
      </c>
      <c r="K41" s="130">
        <f t="shared" si="5"/>
        <v>928.48185386575017</v>
      </c>
      <c r="L41" s="130">
        <f t="shared" si="0"/>
        <v>1000.0000000000001</v>
      </c>
      <c r="M41" s="131">
        <f t="shared" si="6"/>
        <v>343.26843304220858</v>
      </c>
      <c r="N41" s="132">
        <f t="shared" si="10"/>
        <v>71.518146134249946</v>
      </c>
      <c r="O41" s="133">
        <f>(uSuccessP*H41+uRevision*Standard!I41+uSuccessR*Standard!J41)/(1+oDR)^cycle</f>
        <v>35.622416372640792</v>
      </c>
      <c r="P41" s="29"/>
      <c r="Q41" s="29"/>
    </row>
    <row r="42" spans="1:17" x14ac:dyDescent="0.15">
      <c r="A42">
        <v>36</v>
      </c>
      <c r="C42" s="134">
        <f t="shared" si="1"/>
        <v>3.3418401098594952E-3</v>
      </c>
      <c r="E42" s="134">
        <f t="shared" si="2"/>
        <v>0.15480000000000002</v>
      </c>
      <c r="G42" s="25"/>
      <c r="H42" s="130">
        <f t="shared" si="3"/>
        <v>55.306545796025361</v>
      </c>
      <c r="I42" s="130">
        <f t="shared" si="4"/>
        <v>0.43250373073674397</v>
      </c>
      <c r="J42" s="130">
        <f t="shared" si="8"/>
        <v>4.6981201096330922</v>
      </c>
      <c r="K42" s="130">
        <f t="shared" si="5"/>
        <v>939.56283036360492</v>
      </c>
      <c r="L42" s="130">
        <f t="shared" si="0"/>
        <v>1000.0000000000001</v>
      </c>
      <c r="M42" s="131">
        <f t="shared" si="6"/>
        <v>281.0364464683517</v>
      </c>
      <c r="N42" s="132">
        <f t="shared" si="10"/>
        <v>60.437169636395197</v>
      </c>
      <c r="O42" s="133">
        <f>(uSuccessP*H42+uRevision*Standard!I42+uSuccessR*Standard!J42)/(1+oDR)^cycle</f>
        <v>29.642930842532195</v>
      </c>
      <c r="P42" s="29"/>
      <c r="Q42" s="29"/>
    </row>
    <row r="43" spans="1:17" x14ac:dyDescent="0.15">
      <c r="A43">
        <v>37</v>
      </c>
      <c r="C43" s="134">
        <f t="shared" si="1"/>
        <v>3.3841534495534509E-3</v>
      </c>
      <c r="E43" s="134">
        <f t="shared" si="2"/>
        <v>0.15480000000000002</v>
      </c>
      <c r="G43" s="25"/>
      <c r="H43" s="130">
        <f t="shared" si="3"/>
        <v>46.557926669062127</v>
      </c>
      <c r="I43" s="130">
        <f t="shared" si="4"/>
        <v>0.37509064212382881</v>
      </c>
      <c r="J43" s="130">
        <f t="shared" si="8"/>
        <v>4.1398283908805267</v>
      </c>
      <c r="K43" s="130">
        <f t="shared" si="5"/>
        <v>948.92715429793361</v>
      </c>
      <c r="L43" s="130">
        <f t="shared" si="0"/>
        <v>1000.0000000000001</v>
      </c>
      <c r="M43" s="131">
        <f t="shared" si="6"/>
        <v>229.93397725703386</v>
      </c>
      <c r="N43" s="132">
        <f t="shared" si="10"/>
        <v>51.072845702066481</v>
      </c>
      <c r="O43" s="133">
        <f>(uSuccessP*H43+uRevision*Standard!I43+uSuccessR*Standard!J43)/(1+oDR)^cycle</f>
        <v>24.666942928358868</v>
      </c>
      <c r="P43" s="29"/>
      <c r="Q43" s="29"/>
    </row>
    <row r="44" spans="1:17" x14ac:dyDescent="0.15">
      <c r="A44">
        <v>38</v>
      </c>
      <c r="C44" s="134">
        <f t="shared" si="1"/>
        <v>3.4258362544402621E-3</v>
      </c>
      <c r="E44" s="134">
        <f t="shared" si="2"/>
        <v>0.15480000000000002</v>
      </c>
      <c r="G44" s="25"/>
      <c r="H44" s="130">
        <f t="shared" si="3"/>
        <v>39.191259787576861</v>
      </c>
      <c r="I44" s="130">
        <f t="shared" si="4"/>
        <v>0.32509296874966526</v>
      </c>
      <c r="J44" s="130">
        <f t="shared" si="8"/>
        <v>3.6429146182175831</v>
      </c>
      <c r="K44" s="130">
        <f t="shared" si="5"/>
        <v>956.84073262545598</v>
      </c>
      <c r="L44" s="130">
        <f t="shared" si="0"/>
        <v>1000.0000000000001</v>
      </c>
      <c r="M44" s="131">
        <f t="shared" si="6"/>
        <v>188.00466835706101</v>
      </c>
      <c r="N44" s="132">
        <f t="shared" si="10"/>
        <v>43.159267374544108</v>
      </c>
      <c r="O44" s="133">
        <f>(uSuccessP*H44+uRevision*Standard!I44+uSuccessR*Standard!J44)/(1+oDR)^cycle</f>
        <v>20.526079035390421</v>
      </c>
      <c r="P44" s="29"/>
      <c r="Q44" s="29"/>
    </row>
    <row r="45" spans="1:17" x14ac:dyDescent="0.15">
      <c r="A45">
        <v>39</v>
      </c>
      <c r="C45" s="134">
        <f t="shared" si="1"/>
        <v>3.4669143507320976E-3</v>
      </c>
      <c r="E45" s="134">
        <f t="shared" si="2"/>
        <v>0.15480000000000002</v>
      </c>
      <c r="G45" s="25"/>
      <c r="H45" s="130">
        <f t="shared" si="3"/>
        <v>32.988580031479138</v>
      </c>
      <c r="I45" s="130">
        <f t="shared" si="4"/>
        <v>0.28158932570952333</v>
      </c>
      <c r="J45" s="130">
        <f t="shared" si="8"/>
        <v>3.2015415684010211</v>
      </c>
      <c r="K45" s="130">
        <f t="shared" si="5"/>
        <v>963.5282890744104</v>
      </c>
      <c r="L45" s="130">
        <f t="shared" si="0"/>
        <v>1000.0000000000001</v>
      </c>
      <c r="M45" s="131">
        <f t="shared" si="6"/>
        <v>153.62835471318866</v>
      </c>
      <c r="N45" s="132">
        <f t="shared" si="10"/>
        <v>36.471710925589683</v>
      </c>
      <c r="O45" s="133">
        <f>(uSuccessP*H45+uRevision*Standard!I45+uSuccessR*Standard!J45)/(1+oDR)^cycle</f>
        <v>17.080209739170844</v>
      </c>
      <c r="P45" s="29"/>
      <c r="Q45" s="29"/>
    </row>
    <row r="46" spans="1:17" x14ac:dyDescent="0.15">
      <c r="A46">
        <v>40</v>
      </c>
      <c r="C46" s="134">
        <f t="shared" si="1"/>
        <v>3.5074118676067245E-3</v>
      </c>
      <c r="E46" s="134">
        <f t="shared" si="2"/>
        <v>0.15480000000000002</v>
      </c>
      <c r="G46" s="25"/>
      <c r="H46" s="130">
        <f t="shared" si="3"/>
        <v>27.766243305508262</v>
      </c>
      <c r="I46" s="130">
        <f t="shared" si="4"/>
        <v>0.24376619983394499</v>
      </c>
      <c r="J46" s="130">
        <f t="shared" si="8"/>
        <v>2.8102487824520006</v>
      </c>
      <c r="K46" s="130">
        <f t="shared" si="5"/>
        <v>969.1797417122059</v>
      </c>
      <c r="L46" s="130">
        <f t="shared" si="0"/>
        <v>1000.0000000000001</v>
      </c>
      <c r="M46" s="131">
        <f t="shared" si="6"/>
        <v>125.46506425797442</v>
      </c>
      <c r="N46" s="132">
        <f t="shared" si="10"/>
        <v>30.820258287794207</v>
      </c>
      <c r="O46" s="133">
        <f>(uSuccessP*H46+uRevision*Standard!I46+uSuccessR*Standard!J46)/(1+oDR)^cycle</f>
        <v>14.212713130838159</v>
      </c>
      <c r="P46" s="29"/>
      <c r="Q46" s="29"/>
    </row>
    <row r="47" spans="1:17" x14ac:dyDescent="0.15">
      <c r="A47">
        <v>41</v>
      </c>
      <c r="C47" s="134">
        <f t="shared" si="1"/>
        <v>3.5473513886211672E-3</v>
      </c>
      <c r="E47" s="134">
        <f t="shared" si="2"/>
        <v>0.15480000000000002</v>
      </c>
      <c r="G47" s="25"/>
      <c r="H47" s="130">
        <f t="shared" si="3"/>
        <v>23.369532220068994</v>
      </c>
      <c r="I47" s="130">
        <f t="shared" si="4"/>
        <v>0.21090657304466795</v>
      </c>
      <c r="J47" s="130">
        <f t="shared" si="8"/>
        <v>2.4639681877333217</v>
      </c>
      <c r="K47" s="130">
        <f t="shared" si="5"/>
        <v>973.95559301915307</v>
      </c>
      <c r="L47" s="130">
        <f t="shared" si="0"/>
        <v>1000</v>
      </c>
      <c r="M47" s="131">
        <f t="shared" si="6"/>
        <v>102.40792727073836</v>
      </c>
      <c r="N47" s="132">
        <f t="shared" si="10"/>
        <v>26.044406980846983</v>
      </c>
      <c r="O47" s="133">
        <f>(uSuccessP*H47+uRevision*Standard!I47+uSuccessR*Standard!J47)/(1+oDR)^cycle</f>
        <v>11.8265322931081</v>
      </c>
      <c r="P47" s="29"/>
      <c r="Q47" s="29"/>
    </row>
    <row r="48" spans="1:17" x14ac:dyDescent="0.15">
      <c r="A48">
        <v>42</v>
      </c>
      <c r="C48" s="134">
        <f t="shared" si="1"/>
        <v>3.5867540862291047E-3</v>
      </c>
      <c r="E48" s="134">
        <f t="shared" si="2"/>
        <v>0.15480000000000002</v>
      </c>
      <c r="G48" s="25"/>
      <c r="H48" s="130">
        <f t="shared" si="3"/>
        <v>19.668107867218716</v>
      </c>
      <c r="I48" s="130">
        <f t="shared" si="4"/>
        <v>0.18237949269292805</v>
      </c>
      <c r="J48" s="130">
        <f t="shared" si="8"/>
        <v>2.1580272888393304</v>
      </c>
      <c r="K48" s="130">
        <f t="shared" si="5"/>
        <v>977.99148535124903</v>
      </c>
      <c r="L48" s="130">
        <f t="shared" si="0"/>
        <v>1000</v>
      </c>
      <c r="M48" s="131">
        <f t="shared" si="6"/>
        <v>83.543679553279546</v>
      </c>
      <c r="N48" s="132">
        <f t="shared" si="10"/>
        <v>22.008514648750975</v>
      </c>
      <c r="O48" s="133">
        <f>(uSuccessP*H48+uRevision*Standard!I48+uSuccessR*Standard!J48)/(1+oDR)^cycle</f>
        <v>9.8408938073433454</v>
      </c>
      <c r="P48" s="29"/>
      <c r="Q48" s="29"/>
    </row>
    <row r="49" spans="1:17" x14ac:dyDescent="0.15">
      <c r="A49">
        <v>43</v>
      </c>
      <c r="C49" s="134">
        <f t="shared" si="1"/>
        <v>3.6256398416483204E-3</v>
      </c>
      <c r="E49" s="134">
        <f t="shared" si="2"/>
        <v>0.15480000000000002</v>
      </c>
      <c r="G49" s="25"/>
      <c r="H49" s="130">
        <f t="shared" si="3"/>
        <v>16.552175293880033</v>
      </c>
      <c r="I49" s="130">
        <f t="shared" si="4"/>
        <v>0.15763056704679818</v>
      </c>
      <c r="J49" s="130">
        <f t="shared" si="8"/>
        <v>1.8881431303436327</v>
      </c>
      <c r="K49" s="130">
        <f t="shared" si="5"/>
        <v>981.40205100872959</v>
      </c>
      <c r="L49" s="130">
        <f t="shared" si="0"/>
        <v>1000</v>
      </c>
      <c r="M49" s="131">
        <f t="shared" si="6"/>
        <v>68.119612441855011</v>
      </c>
      <c r="N49" s="132">
        <f t="shared" si="10"/>
        <v>18.597948991270464</v>
      </c>
      <c r="O49" s="133">
        <f>(uSuccessP*H49+uRevision*Standard!I49+uSuccessR*Standard!J49)/(1+oDR)^cycle</f>
        <v>8.1885764923972477</v>
      </c>
      <c r="P49" s="29"/>
      <c r="Q49" s="29"/>
    </row>
    <row r="50" spans="1:17" x14ac:dyDescent="0.15">
      <c r="A50">
        <v>44</v>
      </c>
      <c r="C50" s="134">
        <f t="shared" si="1"/>
        <v>3.6640273519783495E-3</v>
      </c>
      <c r="E50" s="134">
        <f t="shared" si="2"/>
        <v>0.15480000000000002</v>
      </c>
      <c r="G50" s="25"/>
      <c r="H50" s="130">
        <f t="shared" si="3"/>
        <v>13.929250935375887</v>
      </c>
      <c r="I50" s="130">
        <f t="shared" si="4"/>
        <v>0.13617334822526203</v>
      </c>
      <c r="J50" s="130">
        <f t="shared" si="8"/>
        <v>1.6504095924797106</v>
      </c>
      <c r="K50" s="130">
        <f t="shared" si="5"/>
        <v>984.28416612391914</v>
      </c>
      <c r="L50" s="130">
        <f t="shared" si="0"/>
        <v>1000</v>
      </c>
      <c r="M50" s="131">
        <f t="shared" si="6"/>
        <v>55.515976253494493</v>
      </c>
      <c r="N50" s="132">
        <f t="shared" si="10"/>
        <v>15.715833876080859</v>
      </c>
      <c r="O50" s="133">
        <f>(uSuccessP*H50+uRevision*Standard!I50+uSuccessR*Standard!J50)/(1+oDR)^cycle</f>
        <v>6.8136381413464555</v>
      </c>
      <c r="P50" s="29"/>
      <c r="Q50" s="29"/>
    </row>
    <row r="51" spans="1:17" x14ac:dyDescent="0.15">
      <c r="A51">
        <v>45</v>
      </c>
      <c r="C51" s="134">
        <f t="shared" si="1"/>
        <v>3.701934226185033E-3</v>
      </c>
      <c r="E51" s="134">
        <f t="shared" si="2"/>
        <v>0.15480000000000002</v>
      </c>
      <c r="G51" s="25"/>
      <c r="H51" s="130">
        <f t="shared" si="3"/>
        <v>11.72143771979691</v>
      </c>
      <c r="I51" s="130">
        <f t="shared" si="4"/>
        <v>0.1175815544819763</v>
      </c>
      <c r="J51" s="130">
        <f t="shared" si="8"/>
        <v>1.4412800508201491</v>
      </c>
      <c r="K51" s="130">
        <f t="shared" si="5"/>
        <v>986.71970067490099</v>
      </c>
      <c r="L51" s="130">
        <f t="shared" si="0"/>
        <v>1000</v>
      </c>
      <c r="M51" s="131">
        <f t="shared" si="6"/>
        <v>45.222982126499154</v>
      </c>
      <c r="N51" s="132">
        <f t="shared" si="10"/>
        <v>13.280299325099035</v>
      </c>
      <c r="O51" s="133">
        <f>(uSuccessP*H51+uRevision*Standard!I51+uSuccessR*Standard!J51)/(1+oDR)^cycle</f>
        <v>5.6695234780366786</v>
      </c>
      <c r="P51" s="29"/>
      <c r="Q51" s="29"/>
    </row>
    <row r="52" spans="1:17" x14ac:dyDescent="0.15">
      <c r="A52">
        <v>46</v>
      </c>
      <c r="C52" s="134">
        <f t="shared" si="1"/>
        <v>3.7393770713346486E-3</v>
      </c>
      <c r="E52" s="134">
        <f t="shared" si="2"/>
        <v>0.15480000000000002</v>
      </c>
      <c r="G52" s="25"/>
      <c r="H52" s="130">
        <f t="shared" si="3"/>
        <v>9.8631282853198616</v>
      </c>
      <c r="I52" s="130">
        <f t="shared" si="4"/>
        <v>0.10148207748529162</v>
      </c>
      <c r="J52" s="130">
        <f t="shared" si="8"/>
        <v>1.2575469956789109</v>
      </c>
      <c r="K52" s="130">
        <f t="shared" si="5"/>
        <v>988.77784264151592</v>
      </c>
      <c r="L52" s="130">
        <f t="shared" si="0"/>
        <v>1000</v>
      </c>
      <c r="M52" s="131">
        <f t="shared" si="6"/>
        <v>36.821670218408435</v>
      </c>
      <c r="N52" s="132">
        <f t="shared" si="10"/>
        <v>11.222157358484065</v>
      </c>
      <c r="O52" s="133">
        <f>(uSuccessP*H52+uRevision*Standard!I52+uSuccessR*Standard!J52)/(1+oDR)^cycle</f>
        <v>4.7174894221772217</v>
      </c>
      <c r="P52" s="29"/>
      <c r="Q52" s="29"/>
    </row>
    <row r="53" spans="1:17" x14ac:dyDescent="0.15">
      <c r="A53">
        <v>47</v>
      </c>
      <c r="C53" s="134">
        <f t="shared" si="1"/>
        <v>3.7763715702551215E-3</v>
      </c>
      <c r="E53" s="134">
        <f t="shared" si="2"/>
        <v>0.15480000000000002</v>
      </c>
      <c r="G53" s="25"/>
      <c r="H53" s="130">
        <f t="shared" si="3"/>
        <v>8.2990691895018855</v>
      </c>
      <c r="I53" s="130">
        <f t="shared" si="4"/>
        <v>8.7548717077617508E-2</v>
      </c>
      <c r="J53" s="130">
        <f t="shared" si="8"/>
        <v>1.0963198512615218</v>
      </c>
      <c r="K53" s="130">
        <f t="shared" si="5"/>
        <v>990.517062242159</v>
      </c>
      <c r="L53" s="130">
        <f t="shared" si="0"/>
        <v>1000</v>
      </c>
      <c r="M53" s="131">
        <f t="shared" si="6"/>
        <v>29.96802041733142</v>
      </c>
      <c r="N53" s="132">
        <f t="shared" si="10"/>
        <v>9.4829377578410252</v>
      </c>
      <c r="O53" s="133">
        <f>(uSuccessP*H53+uRevision*Standard!I53+uSuccessR*Standard!J53)/(1+oDR)^cycle</f>
        <v>3.925294463031701</v>
      </c>
      <c r="P53" s="29"/>
      <c r="Q53" s="29"/>
    </row>
    <row r="54" spans="1:17" x14ac:dyDescent="0.15">
      <c r="A54">
        <v>48</v>
      </c>
      <c r="C54" s="134">
        <f t="shared" si="1"/>
        <v>3.8129325516462753E-3</v>
      </c>
      <c r="E54" s="134">
        <f t="shared" si="2"/>
        <v>0.15480000000000002</v>
      </c>
      <c r="G54" s="25"/>
      <c r="H54" s="130">
        <f t="shared" si="3"/>
        <v>6.9827294879059769</v>
      </c>
      <c r="I54" s="130">
        <f t="shared" si="4"/>
        <v>7.5496585111477277E-2</v>
      </c>
      <c r="J54" s="130">
        <f t="shared" si="8"/>
        <v>0.95500194556822715</v>
      </c>
      <c r="K54" s="130">
        <f t="shared" si="5"/>
        <v>991.98677198141434</v>
      </c>
      <c r="L54" s="130">
        <f t="shared" si="0"/>
        <v>1000</v>
      </c>
      <c r="M54" s="131">
        <f t="shared" si="6"/>
        <v>24.379776063937232</v>
      </c>
      <c r="N54" s="132">
        <f t="shared" si="10"/>
        <v>8.0132280185856821</v>
      </c>
      <c r="O54" s="133">
        <f>(uSuccessP*H54+uRevision*Standard!I54+uSuccessR*Standard!J54)/(1+oDR)^cycle</f>
        <v>3.266107858514899</v>
      </c>
      <c r="P54" s="29"/>
      <c r="Q54" s="29"/>
    </row>
    <row r="55" spans="1:17" x14ac:dyDescent="0.15">
      <c r="A55">
        <v>49</v>
      </c>
      <c r="C55" s="134">
        <f t="shared" si="1"/>
        <v>3.8490740535132018E-3</v>
      </c>
      <c r="E55" s="134">
        <f t="shared" si="2"/>
        <v>0.15480000000000002</v>
      </c>
      <c r="G55" s="25"/>
      <c r="H55" s="130">
        <f t="shared" si="3"/>
        <v>5.8749259202835313</v>
      </c>
      <c r="I55" s="130">
        <f t="shared" si="4"/>
        <v>6.5077120717329504E-2</v>
      </c>
      <c r="J55" s="130">
        <f t="shared" si="8"/>
        <v>0.83126734860552742</v>
      </c>
      <c r="K55" s="130">
        <f t="shared" si="5"/>
        <v>993.22872961039366</v>
      </c>
      <c r="L55" s="130">
        <f t="shared" si="0"/>
        <v>1000</v>
      </c>
      <c r="M55" s="131">
        <f t="shared" si="6"/>
        <v>19.82553285115543</v>
      </c>
      <c r="N55" s="132">
        <f t="shared" si="10"/>
        <v>6.7712703896063884</v>
      </c>
      <c r="O55" s="133">
        <f>(uSuccessP*H55+uRevision*Standard!I55+uSuccessR*Standard!J55)/(1+oDR)^cycle</f>
        <v>2.7176017992541524</v>
      </c>
      <c r="P55" s="29"/>
      <c r="Q55" s="29"/>
    </row>
    <row r="56" spans="1:17" x14ac:dyDescent="0.15">
      <c r="A56">
        <v>50</v>
      </c>
      <c r="C56" s="134">
        <f t="shared" si="1"/>
        <v>3.8848093806849171E-3</v>
      </c>
      <c r="E56" s="134">
        <f t="shared" si="2"/>
        <v>0.15480000000000002</v>
      </c>
      <c r="G56" s="25"/>
      <c r="H56" s="130">
        <f t="shared" si="3"/>
        <v>4.9426644204976942</v>
      </c>
      <c r="I56" s="130">
        <f t="shared" si="4"/>
        <v>5.6073661270167524E-2</v>
      </c>
      <c r="J56" s="130">
        <f t="shared" si="8"/>
        <v>0.72303810911311084</v>
      </c>
      <c r="K56" s="130">
        <f t="shared" si="5"/>
        <v>994.27822380911903</v>
      </c>
      <c r="L56" s="130">
        <f t="shared" si="0"/>
        <v>1000</v>
      </c>
      <c r="M56" s="131">
        <f t="shared" si="6"/>
        <v>16.115715337264952</v>
      </c>
      <c r="N56" s="132">
        <f t="shared" ref="N56:N63" si="11">(J56+I56+H56)</f>
        <v>5.7217761908809726</v>
      </c>
      <c r="O56" s="133">
        <f>(uSuccessP*H56+uRevision*Standard!I56+uSuccessR*Standard!J56)/(1+oDR)^cycle</f>
        <v>2.2611958561358159</v>
      </c>
      <c r="P56" s="29"/>
      <c r="Q56" s="29"/>
    </row>
    <row r="57" spans="1:17" x14ac:dyDescent="0.15">
      <c r="A57">
        <v>51</v>
      </c>
      <c r="C57" s="134">
        <f t="shared" si="1"/>
        <v>3.9201511570746694E-3</v>
      </c>
      <c r="E57" s="134">
        <f t="shared" si="2"/>
        <v>0.15480000000000002</v>
      </c>
      <c r="G57" s="25"/>
      <c r="H57" s="130">
        <f t="shared" si="3"/>
        <v>4.1581639765576046</v>
      </c>
      <c r="I57" s="130">
        <f t="shared" si="4"/>
        <v>4.8297516011570271E-2</v>
      </c>
      <c r="J57" s="130">
        <f t="shared" si="8"/>
        <v>0.62846227073801897</v>
      </c>
      <c r="K57" s="130">
        <f t="shared" si="5"/>
        <v>995.16507623669281</v>
      </c>
      <c r="L57" s="130">
        <f t="shared" si="0"/>
        <v>1000</v>
      </c>
      <c r="M57" s="131">
        <f t="shared" si="6"/>
        <v>13.095123650470052</v>
      </c>
      <c r="N57" s="132">
        <f t="shared" si="11"/>
        <v>4.8349237633071942</v>
      </c>
      <c r="O57" s="133">
        <f>(uSuccessP*H57+uRevision*Standard!I57+uSuccessR*Standard!J57)/(1+oDR)^cycle</f>
        <v>1.8814281733689937</v>
      </c>
      <c r="P57" s="29"/>
      <c r="Q57" s="29"/>
    </row>
    <row r="58" spans="1:17" x14ac:dyDescent="0.15">
      <c r="A58">
        <v>52</v>
      </c>
      <c r="C58" s="134">
        <f t="shared" si="1"/>
        <v>3.9551113732601006E-3</v>
      </c>
      <c r="E58" s="134">
        <f t="shared" si="2"/>
        <v>0.15480000000000002</v>
      </c>
      <c r="G58" s="25"/>
      <c r="H58" s="130">
        <f t="shared" si="3"/>
        <v>3.4980341913509236</v>
      </c>
      <c r="I58" s="130">
        <f t="shared" si="4"/>
        <v>4.1584492465084194E-2</v>
      </c>
      <c r="J58" s="130">
        <f t="shared" si="8"/>
        <v>0.54589293061100064</v>
      </c>
      <c r="K58" s="130">
        <f t="shared" si="5"/>
        <v>995.91448838557301</v>
      </c>
      <c r="L58" s="130">
        <f t="shared" si="0"/>
        <v>1000</v>
      </c>
      <c r="M58" s="131">
        <f t="shared" si="6"/>
        <v>10.6367842048546</v>
      </c>
      <c r="N58" s="132">
        <f t="shared" si="11"/>
        <v>4.0855116144270083</v>
      </c>
      <c r="O58" s="133">
        <f>(uSuccessP*H58+uRevision*Standard!I58+uSuccessR*Standard!J58)/(1+oDR)^cycle</f>
        <v>1.5654321506143591</v>
      </c>
      <c r="P58" s="29"/>
      <c r="Q58" s="29"/>
    </row>
    <row r="59" spans="1:17" x14ac:dyDescent="0.15">
      <c r="A59">
        <v>53</v>
      </c>
      <c r="C59" s="134">
        <f t="shared" si="1"/>
        <v>3.9897014298826416E-3</v>
      </c>
      <c r="E59" s="134">
        <f t="shared" si="2"/>
        <v>0.15480000000000002</v>
      </c>
      <c r="G59" s="25"/>
      <c r="H59" s="130">
        <f t="shared" si="3"/>
        <v>2.9425823865147893</v>
      </c>
      <c r="I59" s="130">
        <f t="shared" si="4"/>
        <v>3.5791829239451178E-2</v>
      </c>
      <c r="J59" s="130">
        <f t="shared" si="8"/>
        <v>0.47386851091016513</v>
      </c>
      <c r="K59" s="130">
        <f t="shared" si="5"/>
        <v>996.54775727333561</v>
      </c>
      <c r="L59" s="130">
        <f t="shared" si="0"/>
        <v>1000</v>
      </c>
      <c r="M59" s="131">
        <f t="shared" si="6"/>
        <v>8.6368817322835607</v>
      </c>
      <c r="N59" s="132">
        <f t="shared" si="11"/>
        <v>3.4522427266644056</v>
      </c>
      <c r="O59" s="133">
        <f>(uSuccessP*H59+uRevision*Standard!I59+uSuccessR*Standard!J59)/(1+oDR)^cycle</f>
        <v>1.3025009216554113</v>
      </c>
      <c r="P59" s="29"/>
      <c r="Q59" s="29"/>
    </row>
    <row r="60" spans="1:17" x14ac:dyDescent="0.15">
      <c r="A60">
        <v>54</v>
      </c>
      <c r="C60" s="134">
        <f t="shared" si="1"/>
        <v>4.0239321773068992E-3</v>
      </c>
      <c r="E60" s="134">
        <f t="shared" si="2"/>
        <v>0.15480000000000002</v>
      </c>
      <c r="G60" s="25"/>
      <c r="H60" s="130">
        <f t="shared" si="3"/>
        <v>2.4752298811328264</v>
      </c>
      <c r="I60" s="130">
        <f t="shared" si="4"/>
        <v>3.0795492385879995E-2</v>
      </c>
      <c r="J60" s="130">
        <f t="shared" si="8"/>
        <v>0.41109434247326004</v>
      </c>
      <c r="K60" s="130">
        <f t="shared" si="5"/>
        <v>997.08288028400807</v>
      </c>
      <c r="L60" s="130">
        <f t="shared" si="0"/>
        <v>1000</v>
      </c>
      <c r="M60" s="131">
        <f t="shared" si="6"/>
        <v>7.0105867070489056</v>
      </c>
      <c r="N60" s="132">
        <f t="shared" si="11"/>
        <v>2.9171197159919666</v>
      </c>
      <c r="O60" s="133">
        <f>(uSuccessP*H60+uRevision*Standard!I60+uSuccessR*Standard!J60)/(1+oDR)^cycle</f>
        <v>1.0837249036595995</v>
      </c>
      <c r="P60" s="29"/>
      <c r="Q60" s="29"/>
    </row>
    <row r="61" spans="1:17" x14ac:dyDescent="0.15">
      <c r="A61">
        <v>55</v>
      </c>
      <c r="C61" s="134">
        <f t="shared" si="1"/>
        <v>4.0578139519237277E-3</v>
      </c>
      <c r="E61" s="134">
        <f t="shared" si="2"/>
        <v>0.15480000000000002</v>
      </c>
      <c r="G61" s="25"/>
      <c r="H61" s="130">
        <f t="shared" si="3"/>
        <v>2.0820202731875854</v>
      </c>
      <c r="I61" s="130">
        <f t="shared" si="4"/>
        <v>2.6487796044809695E-2</v>
      </c>
      <c r="J61" s="130">
        <f t="shared" si="8"/>
        <v>0.3564256048762971</v>
      </c>
      <c r="K61" s="130">
        <f t="shared" si="5"/>
        <v>997.53506632589131</v>
      </c>
      <c r="L61" s="130">
        <f t="shared" si="0"/>
        <v>1000</v>
      </c>
      <c r="M61" s="131">
        <f t="shared" si="6"/>
        <v>5.6886232386763504</v>
      </c>
      <c r="N61" s="132">
        <f t="shared" si="11"/>
        <v>2.4649336741086922</v>
      </c>
      <c r="O61" s="133">
        <f>(uSuccessP*H61+uRevision*Standard!I61+uSuccessR*Standard!J61)/(1+oDR)^cycle</f>
        <v>0.90169016037865601</v>
      </c>
      <c r="P61" s="29"/>
      <c r="Q61" s="29"/>
    </row>
    <row r="62" spans="1:17" x14ac:dyDescent="0.15">
      <c r="A62">
        <v>56</v>
      </c>
      <c r="C62" s="134">
        <f t="shared" si="1"/>
        <v>4.0913566094415987E-3</v>
      </c>
      <c r="E62" s="134">
        <f t="shared" si="2"/>
        <v>0.15480000000000002</v>
      </c>
      <c r="G62" s="25"/>
      <c r="H62" s="130">
        <f t="shared" si="3"/>
        <v>1.7512052474924498</v>
      </c>
      <c r="I62" s="130">
        <f t="shared" si="4"/>
        <v>2.2775311600749314E-2</v>
      </c>
      <c r="J62" s="130">
        <f t="shared" si="8"/>
        <v>0.30885162634257135</v>
      </c>
      <c r="K62" s="130">
        <f t="shared" si="5"/>
        <v>997.91716781456421</v>
      </c>
      <c r="L62" s="130">
        <f t="shared" si="0"/>
        <v>1000</v>
      </c>
      <c r="M62" s="131">
        <f t="shared" si="6"/>
        <v>4.6144485665740174</v>
      </c>
      <c r="N62" s="132">
        <f t="shared" si="11"/>
        <v>2.0828321854357705</v>
      </c>
      <c r="O62" s="133">
        <f>(uSuccessP*H62+uRevision*Standard!I62+uSuccessR*Standard!J62)/(1+oDR)^cycle</f>
        <v>0.75022737799799544</v>
      </c>
      <c r="P62" s="29"/>
      <c r="Q62" s="29"/>
    </row>
    <row r="63" spans="1:17" x14ac:dyDescent="0.15">
      <c r="A63">
        <v>57</v>
      </c>
      <c r="C63" s="134">
        <f t="shared" si="1"/>
        <v>4.1245695554602557E-3</v>
      </c>
      <c r="E63" s="134">
        <f t="shared" si="2"/>
        <v>0.15480000000000002</v>
      </c>
      <c r="G63" s="25"/>
      <c r="H63" s="130">
        <f t="shared" si="3"/>
        <v>1.4728957073314488</v>
      </c>
      <c r="I63" s="130">
        <f t="shared" si="4"/>
        <v>1.9577032902872455E-2</v>
      </c>
      <c r="J63" s="130">
        <f t="shared" si="8"/>
        <v>0.26748151666397674</v>
      </c>
      <c r="K63" s="130">
        <f t="shared" si="5"/>
        <v>998.24004574310163</v>
      </c>
      <c r="L63" s="130">
        <f t="shared" si="0"/>
        <v>999.99999999999989</v>
      </c>
      <c r="M63" s="131">
        <f t="shared" si="6"/>
        <v>3.7419371400530386</v>
      </c>
      <c r="N63" s="132">
        <f t="shared" si="11"/>
        <v>1.759954256898298</v>
      </c>
      <c r="O63" s="133">
        <f>(uSuccessP*H63+uRevision*Standard!I63+uSuccessR*Standard!J63)/(1+oDR)^cycle</f>
        <v>0.62420296313295209</v>
      </c>
      <c r="P63" s="29"/>
      <c r="Q63" s="29"/>
    </row>
    <row r="64" spans="1:17" x14ac:dyDescent="0.15">
      <c r="A64">
        <v>58</v>
      </c>
      <c r="C64" s="134">
        <f t="shared" si="1"/>
        <v>4.1574617735983255E-3</v>
      </c>
      <c r="E64" s="134">
        <f t="shared" si="2"/>
        <v>0.15480000000000002</v>
      </c>
      <c r="G64" s="25"/>
      <c r="H64" s="130">
        <f t="shared" si="3"/>
        <v>1.2387679442368129</v>
      </c>
      <c r="I64" s="130">
        <f t="shared" si="4"/>
        <v>1.6822768266286637E-2</v>
      </c>
      <c r="J64" s="130">
        <f t="shared" si="8"/>
        <v>0.23153108476928438</v>
      </c>
      <c r="K64" s="130">
        <f t="shared" si="5"/>
        <v>998.51287820272751</v>
      </c>
      <c r="L64" s="130">
        <f t="shared" si="0"/>
        <v>999.99999999999989</v>
      </c>
      <c r="M64" s="131">
        <f>(cPrimary*G64+cSuccess*H64+cRevision*I64+cSuccess*J64)/(1+cDR)^cycle</f>
        <v>3.0334805463518855</v>
      </c>
      <c r="N64" s="132">
        <f>(J64+I64+H64)</f>
        <v>1.487121797272384</v>
      </c>
      <c r="O64" s="133">
        <f>(uSuccessP*H64+uRevision*Standard!I64+uSuccessR*Standard!J64)/(1+oDR)^cycle</f>
        <v>0.51934519643302579</v>
      </c>
      <c r="P64" s="29"/>
      <c r="Q64" s="29"/>
    </row>
    <row r="65" spans="1:17" x14ac:dyDescent="0.15">
      <c r="A65">
        <v>59</v>
      </c>
      <c r="C65" s="134">
        <f t="shared" si="1"/>
        <v>4.1900418514030369E-3</v>
      </c>
      <c r="E65" s="134">
        <f t="shared" si="2"/>
        <v>0.15480000000000002</v>
      </c>
      <c r="G65" s="25"/>
      <c r="H65" s="130">
        <f t="shared" si="3"/>
        <v>1.0418161769384255</v>
      </c>
      <c r="I65" s="130">
        <f t="shared" si="4"/>
        <v>1.4451732921300125E-2</v>
      </c>
      <c r="J65" s="130">
        <f t="shared" si="8"/>
        <v>0.2003109778295675</v>
      </c>
      <c r="K65" s="130">
        <f t="shared" si="5"/>
        <v>998.74342111231056</v>
      </c>
      <c r="L65" s="130">
        <f t="shared" si="0"/>
        <v>999.99999999999989</v>
      </c>
      <c r="M65" s="131">
        <f>(cPrimary*G65+cSuccess*H65+cRevision*I65+cSuccess*J65)/(1+cDR)^cycle</f>
        <v>2.458429809199326</v>
      </c>
      <c r="N65" s="132">
        <f>(J65+I65+H65)</f>
        <v>1.2565788876892932</v>
      </c>
      <c r="O65" s="133">
        <f>(uSuccessP*H65+uRevision*Standard!I65+uSuccessR*Standard!J65)/(1+oDR)^cycle</f>
        <v>0.4320995604674539</v>
      </c>
      <c r="P65" s="29"/>
      <c r="Q65" s="29"/>
    </row>
    <row r="66" spans="1:17" x14ac:dyDescent="0.15">
      <c r="A66">
        <v>60</v>
      </c>
      <c r="C66" s="134">
        <f t="shared" si="1"/>
        <v>4.2223180042564312E-3</v>
      </c>
      <c r="E66" s="134">
        <f t="shared" si="2"/>
        <v>0.15480000000000002</v>
      </c>
      <c r="G66" s="25"/>
      <c r="H66" s="130">
        <f t="shared" si="3"/>
        <v>0.87614415354734454</v>
      </c>
      <c r="I66" s="130">
        <f t="shared" si="4"/>
        <v>1.2411318314195419E-2</v>
      </c>
      <c r="J66" s="130">
        <f t="shared" si="8"/>
        <v>0.17321596935502459</v>
      </c>
      <c r="K66" s="130">
        <f t="shared" si="5"/>
        <v>998.93822855878329</v>
      </c>
      <c r="L66" s="130">
        <f t="shared" si="0"/>
        <v>999.99999999999989</v>
      </c>
      <c r="M66" s="131">
        <f>(cPrimary*G66+cSuccess*H66+cRevision*I66+cSuccess*J66)/(1+cDR)^cycle</f>
        <v>1.9918192954907228</v>
      </c>
      <c r="N66" s="132">
        <f>(J66+I66+H66)</f>
        <v>1.0617714412165646</v>
      </c>
      <c r="O66" s="133">
        <f>(uSuccessP*H66+uRevision*Standard!I66+uSuccessR*Standard!J66)/(1+oDR)^cycle</f>
        <v>0.35950834704495993</v>
      </c>
      <c r="P66" s="29"/>
      <c r="Q66" s="29"/>
    </row>
    <row r="67" spans="1:17" x14ac:dyDescent="0.15">
      <c r="M67" s="58" t="s">
        <v>127</v>
      </c>
      <c r="N67" s="58" t="s">
        <v>128</v>
      </c>
      <c r="O67" s="58" t="s">
        <v>129</v>
      </c>
    </row>
    <row r="68" spans="1:17" x14ac:dyDescent="0.15">
      <c r="I68" s="29"/>
      <c r="M68" s="128">
        <f>SUM(M6:M66)/1000</f>
        <v>512.43465834364304</v>
      </c>
      <c r="N68" s="129">
        <f>SUM(N6:N66)/1000</f>
        <v>20.90914140336028</v>
      </c>
      <c r="O68" s="108">
        <f>SUM(O6:O66)/1000</f>
        <v>14.653189614825321</v>
      </c>
    </row>
    <row r="69" spans="1:17" x14ac:dyDescent="0.15">
      <c r="I69" s="29"/>
    </row>
  </sheetData>
  <phoneticPr fontId="19" type="noConversion"/>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140</v>
      </c>
      <c r="B1" s="6"/>
    </row>
    <row r="2" spans="1:17" ht="16" x14ac:dyDescent="0.2">
      <c r="A2" s="6"/>
      <c r="B2" s="6"/>
    </row>
    <row r="3" spans="1:17" x14ac:dyDescent="0.15">
      <c r="D3" s="47"/>
      <c r="G3" s="23" t="s">
        <v>141</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103</v>
      </c>
      <c r="M4" s="20" t="s">
        <v>21</v>
      </c>
      <c r="N4" s="20" t="s">
        <v>30</v>
      </c>
      <c r="O4" s="20" t="s">
        <v>22</v>
      </c>
    </row>
    <row r="5" spans="1:17" x14ac:dyDescent="0.15">
      <c r="C5"/>
      <c r="D5"/>
      <c r="E5" s="33"/>
    </row>
    <row r="6" spans="1:17" x14ac:dyDescent="0.15">
      <c r="A6">
        <v>0</v>
      </c>
      <c r="G6" s="25">
        <v>1000</v>
      </c>
      <c r="H6" s="25"/>
      <c r="I6" s="25"/>
      <c r="J6" s="25"/>
      <c r="K6" s="25"/>
      <c r="L6" s="130">
        <f t="shared" ref="L6:L37" si="0">SUM(G6:K6)</f>
        <v>1000</v>
      </c>
      <c r="M6" s="131">
        <f>(_cNP1+cPrimary)*G6</f>
        <v>579000</v>
      </c>
      <c r="N6" s="29"/>
      <c r="O6" s="28"/>
      <c r="P6" s="29"/>
      <c r="Q6" s="29"/>
    </row>
    <row r="7" spans="1:17" x14ac:dyDescent="0.15">
      <c r="A7">
        <v>1</v>
      </c>
      <c r="C7" s="134">
        <f>1-EXP(lambda*rrNP1*(A6^gamma-A7^gamma))</f>
        <v>1.1885569701708398E-4</v>
      </c>
      <c r="E7" s="134">
        <f t="shared" ref="E7:E38" si="1">IF(male=0,VLOOKUP(cycle+age,lifetable,3,1),IF(male=1,VLOOKUP(cycle+age,lifetable,2,1),"error"))</f>
        <v>6.7000000000000002E-3</v>
      </c>
      <c r="G7" s="25"/>
      <c r="H7" s="130">
        <f>G6*(1-omrPTHR)+H6*(1-np1RR-mr)</f>
        <v>980</v>
      </c>
      <c r="I7" s="130">
        <f>H6*np1RR+J6*rrr</f>
        <v>0</v>
      </c>
      <c r="J7" s="130">
        <f t="shared" ref="J7:J38" si="2">I6*(1-mr-omrRTHR)+J6*(1-mr-rrr)</f>
        <v>0</v>
      </c>
      <c r="K7" s="130">
        <f t="shared" ref="K7:K38" si="3">H6*mr+(I6+J6)*mr+G6*omrPTHR+I6*omrRTHR+K6</f>
        <v>20</v>
      </c>
      <c r="L7" s="130">
        <f t="shared" si="0"/>
        <v>1000</v>
      </c>
      <c r="M7" s="131">
        <f t="shared" ref="M7:M38" si="4">(cPrimary*G7+cSuccess*H7+cRevision*I7+cSuccess*J7)/(1+cDR)^cycle</f>
        <v>0</v>
      </c>
      <c r="N7" s="132">
        <f t="shared" ref="N7:N38" si="5">(J7+I7+H7)</f>
        <v>980</v>
      </c>
      <c r="O7" s="133">
        <f>(uSuccessP*H7+uRevision*NP1!I7+uSuccessR*NP1!J7)/(1+oDR)^cycle</f>
        <v>820.68965517241384</v>
      </c>
      <c r="P7" s="29"/>
      <c r="Q7" s="29"/>
    </row>
    <row r="8" spans="1:17" x14ac:dyDescent="0.15">
      <c r="A8">
        <v>2</v>
      </c>
      <c r="C8" s="134">
        <f t="shared" ref="C8:C66" si="6">1-EXP(lambda*rrNP1*(A7^gamma-A8^gamma))</f>
        <v>2.0668743107066234E-4</v>
      </c>
      <c r="E8" s="134">
        <f t="shared" si="1"/>
        <v>6.7000000000000002E-3</v>
      </c>
      <c r="G8" s="49"/>
      <c r="H8" s="130">
        <f t="shared" ref="H8:H66" si="7">G7*(1-omrPTHR)+H7*(1-np1RR-mr)</f>
        <v>973.23144631755076</v>
      </c>
      <c r="I8" s="130">
        <f t="shared" ref="I8:I66" si="8">H7*np1RR+J7*rrr</f>
        <v>0.2025536824492491</v>
      </c>
      <c r="J8" s="130">
        <f t="shared" si="2"/>
        <v>0</v>
      </c>
      <c r="K8" s="130">
        <f t="shared" si="3"/>
        <v>26.565999999999999</v>
      </c>
      <c r="L8" s="130">
        <f t="shared" si="0"/>
        <v>1000</v>
      </c>
      <c r="M8" s="131">
        <f t="shared" si="4"/>
        <v>954.36026600776495</v>
      </c>
      <c r="N8" s="132">
        <f t="shared" si="5"/>
        <v>973.43399999999997</v>
      </c>
      <c r="O8" s="133">
        <f>(uSuccessP*H8+uRevision*NP1!I8+uSuccessR*NP1!J8)/(1+oDR)^cycle</f>
        <v>803.03574022631278</v>
      </c>
      <c r="P8" s="29"/>
      <c r="Q8" s="29"/>
    </row>
    <row r="9" spans="1:17" x14ac:dyDescent="0.15">
      <c r="A9">
        <v>3</v>
      </c>
      <c r="C9" s="134">
        <f t="shared" si="6"/>
        <v>2.6137848896035099E-4</v>
      </c>
      <c r="E9" s="134">
        <f t="shared" si="1"/>
        <v>6.7000000000000002E-3</v>
      </c>
      <c r="G9" s="25"/>
      <c r="H9" s="130">
        <f t="shared" si="7"/>
        <v>966.45641386237594</v>
      </c>
      <c r="I9" s="130">
        <f t="shared" si="8"/>
        <v>0.25438176484717834</v>
      </c>
      <c r="J9" s="130">
        <f t="shared" si="2"/>
        <v>0.19714549912785415</v>
      </c>
      <c r="K9" s="130">
        <f t="shared" si="3"/>
        <v>33.092058873648988</v>
      </c>
      <c r="L9" s="130">
        <f t="shared" si="0"/>
        <v>999.99999999999989</v>
      </c>
      <c r="M9" s="131">
        <f t="shared" si="4"/>
        <v>1130.7128225825361</v>
      </c>
      <c r="N9" s="132">
        <f t="shared" si="5"/>
        <v>966.90794112635092</v>
      </c>
      <c r="O9" s="133">
        <f>(uSuccessP*H9+uRevision*NP1!I9+uSuccessR*NP1!J9)/(1+oDR)^cycle</f>
        <v>785.8172695182875</v>
      </c>
      <c r="P9" s="29"/>
      <c r="Q9" s="29"/>
    </row>
    <row r="10" spans="1:17" x14ac:dyDescent="0.15">
      <c r="A10">
        <v>4</v>
      </c>
      <c r="C10" s="134">
        <f t="shared" si="6"/>
        <v>3.0472751472521153E-4</v>
      </c>
      <c r="E10" s="134">
        <f t="shared" si="1"/>
        <v>6.7000000000000002E-3</v>
      </c>
      <c r="G10" s="25"/>
      <c r="H10" s="130">
        <f t="shared" si="7"/>
        <v>959.68665002841146</v>
      </c>
      <c r="I10" s="130">
        <f t="shared" si="8"/>
        <v>0.3023916810516365</v>
      </c>
      <c r="J10" s="130">
        <f t="shared" si="2"/>
        <v>0.43552857604434203</v>
      </c>
      <c r="K10" s="130">
        <f t="shared" si="3"/>
        <v>39.575429714492486</v>
      </c>
      <c r="L10" s="130">
        <f t="shared" si="0"/>
        <v>1000</v>
      </c>
      <c r="M10" s="131">
        <f t="shared" si="4"/>
        <v>1268.0322969912759</v>
      </c>
      <c r="N10" s="132">
        <f t="shared" si="5"/>
        <v>960.42457028550746</v>
      </c>
      <c r="O10" s="133">
        <f>(uSuccessP*H10+uRevision*NP1!I10+uSuccessR*NP1!J10)/(1+oDR)^cycle</f>
        <v>768.96461724156268</v>
      </c>
      <c r="P10" s="29"/>
      <c r="Q10" s="29"/>
    </row>
    <row r="11" spans="1:17" x14ac:dyDescent="0.15">
      <c r="A11">
        <v>5</v>
      </c>
      <c r="C11" s="134">
        <f t="shared" si="6"/>
        <v>3.416376814695532E-4</v>
      </c>
      <c r="E11" s="134">
        <f t="shared" si="1"/>
        <v>1.9300000000000001E-2</v>
      </c>
      <c r="G11" s="25"/>
      <c r="H11" s="130">
        <f t="shared" si="7"/>
        <v>940.83683256081019</v>
      </c>
      <c r="I11" s="130">
        <f t="shared" si="8"/>
        <v>0.34528626509476268</v>
      </c>
      <c r="J11" s="130">
        <f t="shared" si="2"/>
        <v>0.70020941947121962</v>
      </c>
      <c r="K11" s="130">
        <f t="shared" si="3"/>
        <v>58.117671754623814</v>
      </c>
      <c r="L11" s="130">
        <f t="shared" si="0"/>
        <v>1000</v>
      </c>
      <c r="M11" s="131">
        <f t="shared" si="4"/>
        <v>1365.9472050220011</v>
      </c>
      <c r="N11" s="132">
        <f t="shared" si="5"/>
        <v>941.88232824537613</v>
      </c>
      <c r="O11" s="133">
        <f>(uSuccessP*H11+uRevision*NP1!I11+uSuccessR*NP1!J11)/(1+oDR)^cycle</f>
        <v>742.92391582444918</v>
      </c>
      <c r="P11" s="29"/>
      <c r="Q11" s="29"/>
    </row>
    <row r="12" spans="1:17" x14ac:dyDescent="0.15">
      <c r="A12">
        <v>6</v>
      </c>
      <c r="C12" s="134">
        <f t="shared" si="6"/>
        <v>3.7425734652041243E-4</v>
      </c>
      <c r="E12" s="134">
        <f t="shared" si="1"/>
        <v>1.9300000000000001E-2</v>
      </c>
      <c r="G12" s="25"/>
      <c r="H12" s="130">
        <f t="shared" si="7"/>
        <v>922.32656659592374</v>
      </c>
      <c r="I12" s="130">
        <f t="shared" si="8"/>
        <v>0.38012347324172713</v>
      </c>
      <c r="J12" s="130">
        <f t="shared" si="2"/>
        <v>0.99040351577311481</v>
      </c>
      <c r="K12" s="130">
        <f t="shared" si="3"/>
        <v>76.302906415061472</v>
      </c>
      <c r="L12" s="130">
        <f t="shared" si="0"/>
        <v>1000</v>
      </c>
      <c r="M12" s="131">
        <f t="shared" si="4"/>
        <v>1418.6440280957806</v>
      </c>
      <c r="N12" s="132">
        <f t="shared" si="5"/>
        <v>923.69709358493856</v>
      </c>
      <c r="O12" s="133">
        <f>(uSuccessP*H12+uRevision*NP1!I12+uSuccessR*NP1!J12)/(1+oDR)^cycle</f>
        <v>717.76419240578798</v>
      </c>
      <c r="P12" s="29"/>
      <c r="Q12" s="29"/>
    </row>
    <row r="13" spans="1:17" x14ac:dyDescent="0.15">
      <c r="A13">
        <v>7</v>
      </c>
      <c r="C13" s="134">
        <f t="shared" si="6"/>
        <v>4.0375768278766433E-4</v>
      </c>
      <c r="E13" s="134">
        <f t="shared" si="1"/>
        <v>1.9300000000000001E-2</v>
      </c>
      <c r="G13" s="25"/>
      <c r="H13" s="130">
        <f t="shared" si="7"/>
        <v>904.15326742332013</v>
      </c>
      <c r="I13" s="130">
        <f t="shared" si="8"/>
        <v>0.41201257793319712</v>
      </c>
      <c r="J13" s="130">
        <f t="shared" si="2"/>
        <v>1.2968572080310963</v>
      </c>
      <c r="K13" s="130">
        <f t="shared" si="3"/>
        <v>94.137862790715616</v>
      </c>
      <c r="L13" s="130">
        <f t="shared" si="0"/>
        <v>1000</v>
      </c>
      <c r="M13" s="131">
        <f t="shared" si="4"/>
        <v>1450.6189766635159</v>
      </c>
      <c r="N13" s="132">
        <f t="shared" si="5"/>
        <v>905.86213720928447</v>
      </c>
      <c r="O13" s="133">
        <f>(uSuccessP*H13+uRevision*NP1!I13+uSuccessR*NP1!J13)/(1+oDR)^cycle</f>
        <v>693.45411691528568</v>
      </c>
      <c r="P13" s="29"/>
      <c r="Q13" s="29"/>
    </row>
    <row r="14" spans="1:17" x14ac:dyDescent="0.15">
      <c r="A14">
        <v>8</v>
      </c>
      <c r="C14" s="134">
        <f t="shared" si="6"/>
        <v>4.3086034210093604E-4</v>
      </c>
      <c r="E14" s="134">
        <f t="shared" si="1"/>
        <v>1.9300000000000001E-2</v>
      </c>
      <c r="G14" s="25"/>
      <c r="H14" s="130">
        <f t="shared" si="7"/>
        <v>886.31354557593636</v>
      </c>
      <c r="I14" s="130">
        <f t="shared" si="8"/>
        <v>0.44143807443493466</v>
      </c>
      <c r="J14" s="130">
        <f t="shared" si="2"/>
        <v>1.6157740592152747</v>
      </c>
      <c r="K14" s="130">
        <f t="shared" si="3"/>
        <v>111.62924229041347</v>
      </c>
      <c r="L14" s="130">
        <f t="shared" si="0"/>
        <v>1000</v>
      </c>
      <c r="M14" s="131">
        <f t="shared" si="4"/>
        <v>1466.2458758790071</v>
      </c>
      <c r="N14" s="132">
        <f t="shared" si="5"/>
        <v>888.37075770958654</v>
      </c>
      <c r="O14" s="133">
        <f>(uSuccessP*H14+uRevision*NP1!I14+uSuccessR*NP1!J14)/(1+oDR)^cycle</f>
        <v>669.96515084694374</v>
      </c>
      <c r="P14" s="29"/>
      <c r="Q14" s="29"/>
    </row>
    <row r="15" spans="1:17" x14ac:dyDescent="0.15">
      <c r="A15">
        <v>9</v>
      </c>
      <c r="C15" s="134">
        <f t="shared" si="6"/>
        <v>4.560470035290809E-4</v>
      </c>
      <c r="E15" s="134">
        <f t="shared" si="1"/>
        <v>1.9300000000000001E-2</v>
      </c>
      <c r="G15" s="25"/>
      <c r="H15" s="130">
        <f t="shared" si="7"/>
        <v>868.80349350967367</v>
      </c>
      <c r="I15" s="130">
        <f t="shared" si="8"/>
        <v>0.46883159901575222</v>
      </c>
      <c r="J15" s="130">
        <f t="shared" si="2"/>
        <v>1.9440482156134506</v>
      </c>
      <c r="K15" s="130">
        <f t="shared" si="3"/>
        <v>128.78362667569718</v>
      </c>
      <c r="L15" s="130">
        <f t="shared" si="0"/>
        <v>1000</v>
      </c>
      <c r="M15" s="131">
        <f t="shared" si="4"/>
        <v>1469.0887222735969</v>
      </c>
      <c r="N15" s="132">
        <f t="shared" si="5"/>
        <v>871.21637332430282</v>
      </c>
      <c r="O15" s="133">
        <f>(uSuccessP*H15+uRevision*NP1!I15+uSuccessR*NP1!J15)/(1+oDR)^cycle</f>
        <v>647.26967268491308</v>
      </c>
      <c r="P15" s="29"/>
      <c r="Q15" s="29"/>
    </row>
    <row r="16" spans="1:17" x14ac:dyDescent="0.15">
      <c r="A16">
        <v>10</v>
      </c>
      <c r="C16" s="134">
        <f t="shared" si="6"/>
        <v>4.7965794112503346E-4</v>
      </c>
      <c r="E16" s="134">
        <f t="shared" si="1"/>
        <v>1.9300000000000001E-2</v>
      </c>
      <c r="G16" s="25"/>
      <c r="H16" s="130">
        <f t="shared" si="7"/>
        <v>851.6188575899979</v>
      </c>
      <c r="I16" s="130">
        <f t="shared" si="8"/>
        <v>0.49449042356362444</v>
      </c>
      <c r="J16" s="130">
        <f t="shared" si="2"/>
        <v>2.2791726736020061</v>
      </c>
      <c r="K16" s="130">
        <f t="shared" si="3"/>
        <v>145.60747931283655</v>
      </c>
      <c r="L16" s="130">
        <f t="shared" si="0"/>
        <v>1000.0000000000001</v>
      </c>
      <c r="M16" s="131">
        <f t="shared" si="4"/>
        <v>1461.783884469588</v>
      </c>
      <c r="N16" s="132">
        <f t="shared" si="5"/>
        <v>854.39252068716348</v>
      </c>
      <c r="O16" s="133">
        <f>(uSuccessP*H16+uRevision*NP1!I16+uSuccessR*NP1!J16)/(1+oDR)^cycle</f>
        <v>625.34099614121055</v>
      </c>
      <c r="P16" s="29"/>
      <c r="Q16" s="29"/>
    </row>
    <row r="17" spans="1:17" x14ac:dyDescent="0.15">
      <c r="A17">
        <v>11</v>
      </c>
      <c r="C17" s="134">
        <f t="shared" si="6"/>
        <v>5.0194397499225829E-4</v>
      </c>
      <c r="E17" s="134">
        <f t="shared" si="1"/>
        <v>1.9300000000000001E-2</v>
      </c>
      <c r="G17" s="25"/>
      <c r="H17" s="130">
        <f t="shared" si="7"/>
        <v>834.75514868395385</v>
      </c>
      <c r="I17" s="130">
        <f t="shared" si="8"/>
        <v>0.5186318615011698</v>
      </c>
      <c r="J17" s="130">
        <f t="shared" si="2"/>
        <v>2.619074683974981</v>
      </c>
      <c r="K17" s="130">
        <f t="shared" si="3"/>
        <v>162.10714477057007</v>
      </c>
      <c r="L17" s="130">
        <f t="shared" si="0"/>
        <v>1000</v>
      </c>
      <c r="M17" s="131">
        <f t="shared" si="4"/>
        <v>1446.3673602506331</v>
      </c>
      <c r="N17" s="132">
        <f t="shared" si="5"/>
        <v>837.89285522942998</v>
      </c>
      <c r="O17" s="133">
        <f>(uSuccessP*H17+uRevision*NP1!I17+uSuccessR*NP1!J17)/(1+oDR)^cycle</f>
        <v>604.15332902568207</v>
      </c>
      <c r="P17" s="29"/>
      <c r="Q17" s="29"/>
    </row>
    <row r="18" spans="1:17" x14ac:dyDescent="0.15">
      <c r="A18">
        <v>12</v>
      </c>
      <c r="C18" s="134">
        <f t="shared" si="6"/>
        <v>5.2309621117774263E-4</v>
      </c>
      <c r="E18" s="134">
        <f t="shared" si="1"/>
        <v>1.9300000000000001E-2</v>
      </c>
      <c r="G18" s="25"/>
      <c r="H18" s="130">
        <f t="shared" si="7"/>
        <v>818.20771705881589</v>
      </c>
      <c r="I18" s="130">
        <f t="shared" si="8"/>
        <v>0.54142024289668877</v>
      </c>
      <c r="J18" s="130">
        <f t="shared" si="2"/>
        <v>2.9620131845594386</v>
      </c>
      <c r="K18" s="130">
        <f t="shared" si="3"/>
        <v>178.28884951372811</v>
      </c>
      <c r="L18" s="130">
        <f t="shared" si="0"/>
        <v>1000.0000000000001</v>
      </c>
      <c r="M18" s="131">
        <f t="shared" si="4"/>
        <v>1424.4527341211435</v>
      </c>
      <c r="N18" s="132">
        <f t="shared" si="5"/>
        <v>821.711150486272</v>
      </c>
      <c r="O18" s="133">
        <f>(uSuccessP*H18+uRevision*NP1!I18+uSuccessR*NP1!J18)/(1+oDR)^cycle</f>
        <v>583.68174064150594</v>
      </c>
      <c r="P18" s="29"/>
      <c r="Q18" s="29"/>
    </row>
    <row r="19" spans="1:17" x14ac:dyDescent="0.15">
      <c r="A19">
        <v>13</v>
      </c>
      <c r="C19" s="134">
        <f t="shared" si="6"/>
        <v>5.4326417530836668E-4</v>
      </c>
      <c r="E19" s="134">
        <f t="shared" si="1"/>
        <v>1.9300000000000001E-2</v>
      </c>
      <c r="G19" s="25"/>
      <c r="H19" s="130">
        <f t="shared" si="7"/>
        <v>801.97180517894185</v>
      </c>
      <c r="I19" s="130">
        <f t="shared" si="8"/>
        <v>0.56298346802127663</v>
      </c>
      <c r="J19" s="130">
        <f t="shared" si="2"/>
        <v>3.3065082300659125</v>
      </c>
      <c r="K19" s="130">
        <f t="shared" si="3"/>
        <v>194.1587031229711</v>
      </c>
      <c r="L19" s="130">
        <f t="shared" si="0"/>
        <v>1000.0000000000001</v>
      </c>
      <c r="M19" s="131">
        <f t="shared" si="4"/>
        <v>1397.3439873224174</v>
      </c>
      <c r="N19" s="132">
        <f t="shared" si="5"/>
        <v>805.84129687702909</v>
      </c>
      <c r="O19" s="133">
        <f>(uSuccessP*H19+uRevision*NP1!I19+uSuccessR*NP1!J19)/(1+oDR)^cycle</f>
        <v>563.90213210776596</v>
      </c>
      <c r="P19" s="29"/>
      <c r="Q19" s="29"/>
    </row>
    <row r="20" spans="1:17" x14ac:dyDescent="0.15">
      <c r="A20">
        <v>14</v>
      </c>
      <c r="C20" s="134">
        <f t="shared" si="6"/>
        <v>5.62567435304695E-4</v>
      </c>
      <c r="E20" s="134">
        <f t="shared" si="1"/>
        <v>1.9300000000000001E-2</v>
      </c>
      <c r="G20" s="25"/>
      <c r="H20" s="130">
        <f t="shared" si="7"/>
        <v>786.04258611736213</v>
      </c>
      <c r="I20" s="130">
        <f t="shared" si="8"/>
        <v>0.58342355082883035</v>
      </c>
      <c r="J20" s="130">
        <f t="shared" si="2"/>
        <v>3.6512905097510444</v>
      </c>
      <c r="K20" s="130">
        <f t="shared" si="3"/>
        <v>209.72269982205819</v>
      </c>
      <c r="L20" s="130">
        <f t="shared" si="0"/>
        <v>1000.0000000000001</v>
      </c>
      <c r="M20" s="131">
        <f t="shared" si="4"/>
        <v>1366.1103428240049</v>
      </c>
      <c r="N20" s="132">
        <f t="shared" si="5"/>
        <v>790.27730017794204</v>
      </c>
      <c r="O20" s="133">
        <f>(uSuccessP*H20+uRevision*NP1!I20+uSuccessR*NP1!J20)/(1+oDR)^cycle</f>
        <v>544.79120853714858</v>
      </c>
      <c r="P20" s="29"/>
      <c r="Q20" s="29"/>
    </row>
    <row r="21" spans="1:17" x14ac:dyDescent="0.15">
      <c r="A21">
        <v>15</v>
      </c>
      <c r="C21" s="134">
        <f t="shared" si="6"/>
        <v>5.8110335926397916E-4</v>
      </c>
      <c r="E21" s="134">
        <f t="shared" si="1"/>
        <v>5.3499999999999999E-2</v>
      </c>
      <c r="G21" s="25"/>
      <c r="H21" s="130">
        <f t="shared" si="7"/>
        <v>743.53253577276587</v>
      </c>
      <c r="I21" s="130">
        <f t="shared" si="8"/>
        <v>0.60282360770738652</v>
      </c>
      <c r="J21" s="130">
        <f t="shared" si="2"/>
        <v>3.850436766932233</v>
      </c>
      <c r="K21" s="130">
        <f t="shared" si="3"/>
        <v>252.01420385259468</v>
      </c>
      <c r="L21" s="130">
        <f t="shared" si="0"/>
        <v>1000.0000000000002</v>
      </c>
      <c r="M21" s="131">
        <f t="shared" si="4"/>
        <v>1331.638091823356</v>
      </c>
      <c r="N21" s="132">
        <f t="shared" si="5"/>
        <v>747.98579614740549</v>
      </c>
      <c r="O21" s="133">
        <f>(uSuccessP*H21+uRevision*NP1!I21+uSuccessR*NP1!J21)/(1+oDR)^cycle</f>
        <v>507.96275907705626</v>
      </c>
      <c r="P21" s="29"/>
      <c r="Q21" s="29"/>
    </row>
    <row r="22" spans="1:17" x14ac:dyDescent="0.15">
      <c r="A22">
        <v>16</v>
      </c>
      <c r="C22" s="134">
        <f t="shared" si="6"/>
        <v>5.9895247085905989E-4</v>
      </c>
      <c r="E22" s="134">
        <f t="shared" si="1"/>
        <v>5.3499999999999999E-2</v>
      </c>
      <c r="G22" s="25"/>
      <c r="H22" s="130">
        <f t="shared" si="7"/>
        <v>703.30820445945767</v>
      </c>
      <c r="I22" s="130">
        <f t="shared" si="8"/>
        <v>0.59935812014248979</v>
      </c>
      <c r="J22" s="130">
        <f t="shared" si="2"/>
        <v>4.0489370017649629</v>
      </c>
      <c r="K22" s="130">
        <f t="shared" si="3"/>
        <v>292.04350041863501</v>
      </c>
      <c r="L22" s="130">
        <f t="shared" si="0"/>
        <v>1000.0000000000002</v>
      </c>
      <c r="M22" s="131">
        <f t="shared" si="4"/>
        <v>1249.0404014383339</v>
      </c>
      <c r="N22" s="132">
        <f t="shared" si="5"/>
        <v>707.95649958136516</v>
      </c>
      <c r="O22" s="133">
        <f>(uSuccessP*H22+uRevision*NP1!I22+uSuccessR*NP1!J22)/(1+oDR)^cycle</f>
        <v>473.62910089004009</v>
      </c>
      <c r="P22" s="29"/>
      <c r="Q22" s="29"/>
    </row>
    <row r="23" spans="1:17" x14ac:dyDescent="0.15">
      <c r="A23">
        <v>17</v>
      </c>
      <c r="C23" s="134">
        <f t="shared" si="6"/>
        <v>6.1618225273118998E-4</v>
      </c>
      <c r="E23" s="134">
        <f t="shared" si="1"/>
        <v>5.3499999999999999E-2</v>
      </c>
      <c r="G23" s="25"/>
      <c r="H23" s="130">
        <f t="shared" si="7"/>
        <v>665.2478494870885</v>
      </c>
      <c r="I23" s="130">
        <f t="shared" si="8"/>
        <v>0.59532351385875548</v>
      </c>
      <c r="J23" s="130">
        <f t="shared" si="2"/>
        <v>4.2256666904119555</v>
      </c>
      <c r="K23" s="130">
        <f t="shared" si="3"/>
        <v>329.93116030864087</v>
      </c>
      <c r="L23" s="130">
        <f t="shared" si="0"/>
        <v>1000</v>
      </c>
      <c r="M23" s="131">
        <f t="shared" si="4"/>
        <v>1170.4079523630385</v>
      </c>
      <c r="N23" s="132">
        <f t="shared" si="5"/>
        <v>670.06883969135924</v>
      </c>
      <c r="O23" s="133">
        <f>(uSuccessP*H23+uRevision*NP1!I23+uSuccessR*NP1!J23)/(1+oDR)^cycle</f>
        <v>441.61455025498788</v>
      </c>
      <c r="P23" s="29"/>
      <c r="Q23" s="29"/>
    </row>
    <row r="24" spans="1:17" x14ac:dyDescent="0.15">
      <c r="A24">
        <v>18</v>
      </c>
      <c r="C24" s="134">
        <f t="shared" si="6"/>
        <v>6.3284991407686064E-4</v>
      </c>
      <c r="E24" s="134">
        <f t="shared" si="1"/>
        <v>5.3499999999999999E-2</v>
      </c>
      <c r="G24" s="25"/>
      <c r="H24" s="130">
        <f t="shared" si="7"/>
        <v>629.23608749514153</v>
      </c>
      <c r="I24" s="130">
        <f t="shared" si="8"/>
        <v>0.59002871200419849</v>
      </c>
      <c r="J24" s="130">
        <f t="shared" si="2"/>
        <v>4.3821340904485746</v>
      </c>
      <c r="K24" s="130">
        <f t="shared" si="3"/>
        <v>365.79174970240575</v>
      </c>
      <c r="L24" s="130">
        <f t="shared" si="0"/>
        <v>1000.0000000000002</v>
      </c>
      <c r="M24" s="131">
        <f t="shared" si="4"/>
        <v>1094.3380705697198</v>
      </c>
      <c r="N24" s="132">
        <f t="shared" si="5"/>
        <v>634.2082502975943</v>
      </c>
      <c r="O24" s="133">
        <f>(uSuccessP*H24+uRevision*NP1!I24+uSuccessR*NP1!J24)/(1+oDR)^cycle</f>
        <v>411.76283272929027</v>
      </c>
      <c r="P24" s="29"/>
      <c r="Q24" s="29"/>
    </row>
    <row r="25" spans="1:17" x14ac:dyDescent="0.15">
      <c r="A25">
        <v>19</v>
      </c>
      <c r="C25" s="134">
        <f t="shared" si="6"/>
        <v>6.4900444732896023E-4</v>
      </c>
      <c r="E25" s="134">
        <f t="shared" si="1"/>
        <v>5.3499999999999999E-2</v>
      </c>
      <c r="G25" s="25"/>
      <c r="H25" s="130">
        <f t="shared" si="7"/>
        <v>595.16357979494728</v>
      </c>
      <c r="I25" s="130">
        <f t="shared" si="8"/>
        <v>0.58366238282216454</v>
      </c>
      <c r="J25" s="130">
        <f t="shared" si="2"/>
        <v>4.5190661546635233</v>
      </c>
      <c r="K25" s="130">
        <f t="shared" si="3"/>
        <v>399.73369166756714</v>
      </c>
      <c r="L25" s="130">
        <f t="shared" si="0"/>
        <v>1000</v>
      </c>
      <c r="M25" s="131">
        <f t="shared" si="4"/>
        <v>1021.25501161954</v>
      </c>
      <c r="N25" s="132">
        <f t="shared" si="5"/>
        <v>600.26630833243291</v>
      </c>
      <c r="O25" s="133">
        <f>(uSuccessP*H25+uRevision*NP1!I25+uSuccessR*NP1!J25)/(1+oDR)^cycle</f>
        <v>383.9279211638592</v>
      </c>
      <c r="P25" s="29"/>
      <c r="Q25" s="29"/>
    </row>
    <row r="26" spans="1:17" x14ac:dyDescent="0.15">
      <c r="A26">
        <v>20</v>
      </c>
      <c r="C26" s="134">
        <f t="shared" si="6"/>
        <v>6.646881849140529E-4</v>
      </c>
      <c r="E26" s="134">
        <f t="shared" si="1"/>
        <v>5.3499999999999999E-2</v>
      </c>
      <c r="G26" s="25"/>
      <c r="H26" s="130">
        <f t="shared" si="7"/>
        <v>562.92673007633675</v>
      </c>
      <c r="I26" s="130">
        <f t="shared" si="8"/>
        <v>0.57636084576739455</v>
      </c>
      <c r="J26" s="130">
        <f t="shared" si="2"/>
        <v>4.6372966668872193</v>
      </c>
      <c r="K26" s="130">
        <f t="shared" si="3"/>
        <v>431.85961241100875</v>
      </c>
      <c r="L26" s="130">
        <f t="shared" si="0"/>
        <v>1000</v>
      </c>
      <c r="M26" s="131">
        <f t="shared" si="4"/>
        <v>951.39551912576155</v>
      </c>
      <c r="N26" s="132">
        <f t="shared" si="5"/>
        <v>568.14038758899142</v>
      </c>
      <c r="O26" s="133">
        <f>(uSuccessP*H26+uRevision*NP1!I26+uSuccessR*NP1!J26)/(1+oDR)^cycle</f>
        <v>357.97364896298103</v>
      </c>
      <c r="P26" s="29"/>
      <c r="Q26" s="29"/>
    </row>
    <row r="27" spans="1:17" x14ac:dyDescent="0.15">
      <c r="A27">
        <v>21</v>
      </c>
      <c r="C27" s="134">
        <f t="shared" si="6"/>
        <v>6.7993799688459422E-4</v>
      </c>
      <c r="E27" s="134">
        <f t="shared" si="1"/>
        <v>5.3499999999999999E-2</v>
      </c>
      <c r="G27" s="25"/>
      <c r="H27" s="130">
        <f t="shared" si="7"/>
        <v>532.42739474401185</v>
      </c>
      <c r="I27" s="130">
        <f t="shared" si="8"/>
        <v>0.56824713991638787</v>
      </c>
      <c r="J27" s="130">
        <f t="shared" si="2"/>
        <v>4.737707752136755</v>
      </c>
      <c r="K27" s="130">
        <f t="shared" si="3"/>
        <v>462.26665036393513</v>
      </c>
      <c r="L27" s="130">
        <f t="shared" si="0"/>
        <v>1000.0000000000001</v>
      </c>
      <c r="M27" s="131">
        <f t="shared" si="4"/>
        <v>884.90780352941022</v>
      </c>
      <c r="N27" s="132">
        <f t="shared" si="5"/>
        <v>537.73334963606499</v>
      </c>
      <c r="O27" s="133">
        <f>(uSuccessP*H27+uRevision*NP1!I27+uSuccessR*NP1!J27)/(1+oDR)^cycle</f>
        <v>333.77303426756168</v>
      </c>
      <c r="P27" s="29"/>
      <c r="Q27" s="29"/>
    </row>
    <row r="28" spans="1:17" x14ac:dyDescent="0.15">
      <c r="A28">
        <v>22</v>
      </c>
      <c r="C28" s="134">
        <f t="shared" si="6"/>
        <v>6.9478622565799508E-4</v>
      </c>
      <c r="E28" s="134">
        <f t="shared" si="1"/>
        <v>5.3499999999999999E-2</v>
      </c>
      <c r="G28" s="25"/>
      <c r="H28" s="130">
        <f t="shared" si="7"/>
        <v>503.57260590517609</v>
      </c>
      <c r="I28" s="130">
        <f t="shared" si="8"/>
        <v>0.55943153011658164</v>
      </c>
      <c r="J28" s="130">
        <f t="shared" si="2"/>
        <v>4.8212130524445014</v>
      </c>
      <c r="K28" s="130">
        <f t="shared" si="3"/>
        <v>491.04674951226292</v>
      </c>
      <c r="L28" s="130">
        <f t="shared" si="0"/>
        <v>1000</v>
      </c>
      <c r="M28" s="131">
        <f t="shared" si="4"/>
        <v>821.86756458028424</v>
      </c>
      <c r="N28" s="132">
        <f t="shared" si="5"/>
        <v>508.95325048773719</v>
      </c>
      <c r="O28" s="133">
        <f>(uSuccessP*H28+uRevision*NP1!I28+uSuccessR*NP1!J28)/(1+oDR)^cycle</f>
        <v>311.20766170280234</v>
      </c>
      <c r="P28" s="29"/>
      <c r="Q28" s="29"/>
    </row>
    <row r="29" spans="1:17" x14ac:dyDescent="0.15">
      <c r="A29">
        <v>23</v>
      </c>
      <c r="C29" s="134">
        <f t="shared" si="6"/>
        <v>7.09261425051122E-4</v>
      </c>
      <c r="E29" s="134">
        <f t="shared" si="1"/>
        <v>5.3499999999999999E-2</v>
      </c>
      <c r="G29" s="25"/>
      <c r="H29" s="130">
        <f t="shared" si="7"/>
        <v>476.27430686516817</v>
      </c>
      <c r="I29" s="130">
        <f t="shared" si="8"/>
        <v>0.55001314617879227</v>
      </c>
      <c r="J29" s="130">
        <f t="shared" si="2"/>
        <v>4.888742944693953</v>
      </c>
      <c r="K29" s="130">
        <f t="shared" si="3"/>
        <v>518.28693704395914</v>
      </c>
      <c r="L29" s="130">
        <f t="shared" si="0"/>
        <v>1000</v>
      </c>
      <c r="M29" s="131">
        <f t="shared" si="4"/>
        <v>762.29330554384921</v>
      </c>
      <c r="N29" s="132">
        <f t="shared" si="5"/>
        <v>481.71306295604091</v>
      </c>
      <c r="O29" s="133">
        <f>(uSuccessP*H29+uRevision*NP1!I29+uSuccessR*NP1!J29)/(1+oDR)^cycle</f>
        <v>290.16710520341354</v>
      </c>
      <c r="P29" s="29"/>
      <c r="Q29" s="29"/>
    </row>
    <row r="30" spans="1:17" x14ac:dyDescent="0.15">
      <c r="A30">
        <v>24</v>
      </c>
      <c r="C30" s="134">
        <f t="shared" si="6"/>
        <v>7.2338895141477177E-4</v>
      </c>
      <c r="E30" s="134">
        <f t="shared" si="1"/>
        <v>5.3499999999999999E-2</v>
      </c>
      <c r="G30" s="25"/>
      <c r="H30" s="130">
        <f t="shared" si="7"/>
        <v>450.44909987645269</v>
      </c>
      <c r="I30" s="130">
        <f t="shared" si="8"/>
        <v>0.54008128921674936</v>
      </c>
      <c r="J30" s="130">
        <f t="shared" si="2"/>
        <v>4.9412326592997191</v>
      </c>
      <c r="K30" s="130">
        <f t="shared" si="3"/>
        <v>544.06958617503096</v>
      </c>
      <c r="L30" s="130">
        <f t="shared" si="0"/>
        <v>1000.0000000000001</v>
      </c>
      <c r="M30" s="131">
        <f t="shared" si="4"/>
        <v>706.15868084708234</v>
      </c>
      <c r="N30" s="132">
        <f t="shared" si="5"/>
        <v>455.93041382496915</v>
      </c>
      <c r="O30" s="133">
        <f>(uSuccessP*H30+uRevision*NP1!I30+uSuccessR*NP1!J30)/(1+oDR)^cycle</f>
        <v>270.54838965607303</v>
      </c>
      <c r="P30" s="29"/>
      <c r="Q30" s="29"/>
    </row>
    <row r="31" spans="1:17" x14ac:dyDescent="0.15">
      <c r="A31">
        <v>25</v>
      </c>
      <c r="C31" s="134">
        <f t="shared" si="6"/>
        <v>7.3719144146722204E-4</v>
      </c>
      <c r="E31" s="134">
        <f t="shared" si="1"/>
        <v>0.15480000000000002</v>
      </c>
      <c r="G31" s="25"/>
      <c r="H31" s="130">
        <f t="shared" si="7"/>
        <v>380.38751199433227</v>
      </c>
      <c r="I31" s="130">
        <f t="shared" si="8"/>
        <v>0.52971652761752364</v>
      </c>
      <c r="J31" s="130">
        <f t="shared" si="2"/>
        <v>4.4243556171297946</v>
      </c>
      <c r="K31" s="130">
        <f t="shared" si="3"/>
        <v>614.65841586092051</v>
      </c>
      <c r="L31" s="130">
        <f t="shared" si="0"/>
        <v>1000.0000000000001</v>
      </c>
      <c r="M31" s="131">
        <f t="shared" si="4"/>
        <v>653.40255574491664</v>
      </c>
      <c r="N31" s="132">
        <f t="shared" si="5"/>
        <v>385.3415841390796</v>
      </c>
      <c r="O31" s="133">
        <f>(uSuccessP*H31+uRevision*NP1!I31+uSuccessR*NP1!J31)/(1+oDR)^cycle</f>
        <v>225.23699182815633</v>
      </c>
      <c r="P31" s="29"/>
      <c r="Q31" s="29"/>
    </row>
    <row r="32" spans="1:17" x14ac:dyDescent="0.15">
      <c r="A32">
        <v>26</v>
      </c>
      <c r="C32" s="134">
        <f t="shared" si="6"/>
        <v>7.5068920225673796E-4</v>
      </c>
      <c r="E32" s="134">
        <f t="shared" si="1"/>
        <v>0.15480000000000002</v>
      </c>
      <c r="G32" s="25"/>
      <c r="H32" s="130">
        <f t="shared" si="7"/>
        <v>321.21797233968215</v>
      </c>
      <c r="I32" s="130">
        <f t="shared" si="8"/>
        <v>0.46252702261264245</v>
      </c>
      <c r="J32" s="130">
        <f t="shared" si="2"/>
        <v>3.9996132215028908</v>
      </c>
      <c r="K32" s="130">
        <f t="shared" si="3"/>
        <v>674.31988741620239</v>
      </c>
      <c r="L32" s="130">
        <f t="shared" si="0"/>
        <v>1000</v>
      </c>
      <c r="M32" s="131">
        <f t="shared" si="4"/>
        <v>538.23080573004495</v>
      </c>
      <c r="N32" s="132">
        <f t="shared" si="5"/>
        <v>325.68011258379767</v>
      </c>
      <c r="O32" s="133">
        <f>(uSuccessP*H32+uRevision*NP1!I32+uSuccessR*NP1!J32)/(1+oDR)^cycle</f>
        <v>187.52764075808511</v>
      </c>
      <c r="P32" s="29"/>
      <c r="Q32" s="29"/>
    </row>
    <row r="33" spans="1:17" x14ac:dyDescent="0.15">
      <c r="A33">
        <v>27</v>
      </c>
      <c r="C33" s="134">
        <f t="shared" si="6"/>
        <v>7.6390053220509735E-4</v>
      </c>
      <c r="E33" s="134">
        <f t="shared" si="1"/>
        <v>0.15480000000000002</v>
      </c>
      <c r="G33" s="25"/>
      <c r="H33" s="130">
        <f t="shared" si="7"/>
        <v>271.24805164147523</v>
      </c>
      <c r="I33" s="130">
        <f t="shared" si="8"/>
        <v>0.4053631088842411</v>
      </c>
      <c r="J33" s="130">
        <f t="shared" si="2"/>
        <v>3.6021658650140798</v>
      </c>
      <c r="K33" s="130">
        <f t="shared" si="3"/>
        <v>724.74441938462655</v>
      </c>
      <c r="L33" s="130">
        <f t="shared" si="0"/>
        <v>1000</v>
      </c>
      <c r="M33" s="131">
        <f t="shared" si="4"/>
        <v>445.01002723997465</v>
      </c>
      <c r="N33" s="132">
        <f t="shared" si="5"/>
        <v>275.25558061537356</v>
      </c>
      <c r="O33" s="133">
        <f>(uSuccessP*H33+uRevision*NP1!I33+uSuccessR*NP1!J33)/(1+oDR)^cycle</f>
        <v>156.13061916210049</v>
      </c>
      <c r="P33" s="29"/>
      <c r="Q33" s="29"/>
    </row>
    <row r="34" spans="1:17" x14ac:dyDescent="0.15">
      <c r="A34">
        <v>28</v>
      </c>
      <c r="C34" s="134">
        <f t="shared" si="6"/>
        <v>7.7684198754024436E-4</v>
      </c>
      <c r="E34" s="134">
        <f t="shared" si="1"/>
        <v>0.15480000000000002</v>
      </c>
      <c r="G34" s="25"/>
      <c r="H34" s="130">
        <f t="shared" si="7"/>
        <v>229.04813637182127</v>
      </c>
      <c r="I34" s="130">
        <f t="shared" si="8"/>
        <v>0.35480351015414568</v>
      </c>
      <c r="J34" s="130">
        <f t="shared" si="2"/>
        <v>3.2349695919606125</v>
      </c>
      <c r="K34" s="130">
        <f t="shared" si="3"/>
        <v>767.36209052606409</v>
      </c>
      <c r="L34" s="130">
        <f t="shared" si="0"/>
        <v>1000.0000000000001</v>
      </c>
      <c r="M34" s="131">
        <f t="shared" si="4"/>
        <v>367.45792417300692</v>
      </c>
      <c r="N34" s="132">
        <f t="shared" si="5"/>
        <v>232.63790947393602</v>
      </c>
      <c r="O34" s="133">
        <f>(uSuccessP*H34+uRevision*NP1!I34+uSuccessR*NP1!J34)/(1+oDR)^cycle</f>
        <v>129.98991627607435</v>
      </c>
      <c r="P34" s="29"/>
      <c r="Q34" s="29"/>
    </row>
    <row r="35" spans="1:17" x14ac:dyDescent="0.15">
      <c r="A35">
        <v>29</v>
      </c>
      <c r="C35" s="134">
        <f t="shared" si="6"/>
        <v>7.895286050445538E-4</v>
      </c>
      <c r="E35" s="134">
        <f t="shared" si="1"/>
        <v>0.15480000000000002</v>
      </c>
      <c r="G35" s="25"/>
      <c r="H35" s="130">
        <f t="shared" si="7"/>
        <v>193.41064480586562</v>
      </c>
      <c r="I35" s="130">
        <f t="shared" si="8"/>
        <v>0.31023883927612328</v>
      </c>
      <c r="J35" s="130">
        <f t="shared" si="2"/>
        <v>2.8975813720258858</v>
      </c>
      <c r="K35" s="130">
        <f t="shared" si="3"/>
        <v>803.38153498283248</v>
      </c>
      <c r="L35" s="130">
        <f t="shared" si="0"/>
        <v>1000.0000000000001</v>
      </c>
      <c r="M35" s="131">
        <f t="shared" si="4"/>
        <v>303.11680258967067</v>
      </c>
      <c r="N35" s="132">
        <f t="shared" si="5"/>
        <v>196.61846501716764</v>
      </c>
      <c r="O35" s="133">
        <f>(uSuccessP*H35+uRevision*NP1!I35+uSuccessR*NP1!J35)/(1+oDR)^cycle</f>
        <v>108.22559401279631</v>
      </c>
      <c r="P35" s="29"/>
      <c r="Q35" s="29"/>
    </row>
    <row r="36" spans="1:17" x14ac:dyDescent="0.15">
      <c r="A36">
        <v>30</v>
      </c>
      <c r="C36" s="134">
        <f t="shared" si="6"/>
        <v>8.0197408955473559E-4</v>
      </c>
      <c r="E36" s="134">
        <f t="shared" si="1"/>
        <v>0.15480000000000002</v>
      </c>
      <c r="G36" s="25"/>
      <c r="H36" s="130">
        <f t="shared" si="7"/>
        <v>163.31556666413923</v>
      </c>
      <c r="I36" s="130">
        <f t="shared" si="8"/>
        <v>0.27101358065941389</v>
      </c>
      <c r="J36" s="130">
        <f t="shared" si="2"/>
        <v>2.5891416109258998</v>
      </c>
      <c r="K36" s="130">
        <f t="shared" si="3"/>
        <v>833.82427814427558</v>
      </c>
      <c r="L36" s="130">
        <f t="shared" si="0"/>
        <v>1000.0000000000001</v>
      </c>
      <c r="M36" s="131">
        <f t="shared" si="4"/>
        <v>249.80379577795952</v>
      </c>
      <c r="N36" s="132">
        <f t="shared" si="5"/>
        <v>166.17572185572453</v>
      </c>
      <c r="O36" s="133">
        <f>(uSuccessP*H36+uRevision*NP1!I36+uSuccessR*NP1!J36)/(1+oDR)^cycle</f>
        <v>90.105031143368052</v>
      </c>
      <c r="P36" s="29"/>
      <c r="Q36" s="29"/>
    </row>
    <row r="37" spans="1:17" x14ac:dyDescent="0.15">
      <c r="A37">
        <v>31</v>
      </c>
      <c r="C37" s="134">
        <f t="shared" si="6"/>
        <v>8.1419097279089581E-4</v>
      </c>
      <c r="E37" s="134">
        <f t="shared" si="1"/>
        <v>0.15480000000000002</v>
      </c>
      <c r="G37" s="25"/>
      <c r="H37" s="130">
        <f t="shared" si="7"/>
        <v>137.90134688443629</v>
      </c>
      <c r="I37" s="130">
        <f t="shared" si="8"/>
        <v>0.23653572453120791</v>
      </c>
      <c r="J37" s="130">
        <f t="shared" si="2"/>
        <v>2.3084172318776828</v>
      </c>
      <c r="K37" s="130">
        <f t="shared" si="3"/>
        <v>859.55370015915491</v>
      </c>
      <c r="L37" s="130">
        <f t="shared" si="0"/>
        <v>1000.0000000000001</v>
      </c>
      <c r="M37" s="131">
        <f t="shared" si="4"/>
        <v>205.68321698964502</v>
      </c>
      <c r="N37" s="132">
        <f t="shared" si="5"/>
        <v>140.44629984084517</v>
      </c>
      <c r="O37" s="133">
        <f>(uSuccessP*H37+uRevision*NP1!I37+uSuccessR*NP1!J37)/(1+oDR)^cycle</f>
        <v>75.018239033235446</v>
      </c>
      <c r="P37" s="29"/>
      <c r="Q37" s="29"/>
    </row>
    <row r="38" spans="1:17" x14ac:dyDescent="0.15">
      <c r="A38">
        <v>32</v>
      </c>
      <c r="C38" s="134">
        <f t="shared" si="6"/>
        <v>8.2619074868983677E-4</v>
      </c>
      <c r="E38" s="134">
        <f t="shared" si="1"/>
        <v>0.15480000000000002</v>
      </c>
      <c r="G38" s="25"/>
      <c r="H38" s="130">
        <f t="shared" si="7"/>
        <v>116.44028556969776</v>
      </c>
      <c r="I38" s="130">
        <f t="shared" si="8"/>
        <v>0.20626950630289662</v>
      </c>
      <c r="J38" s="130">
        <f t="shared" si="2"/>
        <v>2.0539268349910627</v>
      </c>
      <c r="K38" s="130">
        <f t="shared" si="3"/>
        <v>881.29951808900842</v>
      </c>
      <c r="L38" s="130">
        <f t="shared" ref="L38:L66" si="9">SUM(G38:K38)</f>
        <v>1000.0000000000001</v>
      </c>
      <c r="M38" s="131">
        <f t="shared" si="4"/>
        <v>169.2120463558698</v>
      </c>
      <c r="N38" s="132">
        <f t="shared" si="5"/>
        <v>118.70048191099173</v>
      </c>
      <c r="O38" s="133">
        <f>(uSuccessP*H38+uRevision*NP1!I38+uSuccessR*NP1!J38)/(1+oDR)^cycle</f>
        <v>62.457336980841731</v>
      </c>
      <c r="P38" s="29"/>
      <c r="Q38" s="29"/>
    </row>
    <row r="39" spans="1:17" x14ac:dyDescent="0.15">
      <c r="A39">
        <v>33</v>
      </c>
      <c r="C39" s="134">
        <f t="shared" si="6"/>
        <v>8.3798398935053253E-4</v>
      </c>
      <c r="E39" s="134">
        <f t="shared" ref="E39:E66" si="10">IF(male=0,VLOOKUP(cycle+age,lifetable,3,1),IF(male=1,VLOOKUP(cycle+age,lifetable,2,1),"error"))</f>
        <v>0.15480000000000002</v>
      </c>
      <c r="G39" s="25"/>
      <c r="H39" s="130">
        <f t="shared" si="7"/>
        <v>98.317754268485729</v>
      </c>
      <c r="I39" s="130">
        <f t="shared" si="8"/>
        <v>0.1797321684224531</v>
      </c>
      <c r="J39" s="130">
        <f t="shared" ref="J39:J66" si="11">I38*(1-mr-omrRTHR)+J38*(1-mr-rrr)</f>
        <v>1.8240354841359536</v>
      </c>
      <c r="K39" s="130">
        <f t="shared" ref="K39:K66" si="12">H38*mr+(I38+J38)*mr+G38*omrPTHR+I38*omrRTHR+K38</f>
        <v>899.678478078956</v>
      </c>
      <c r="L39" s="130">
        <f t="shared" si="9"/>
        <v>1000.0000000000001</v>
      </c>
      <c r="M39" s="131">
        <f t="shared" ref="M39:M66" si="13">(cPrimary*G39+cSuccess*H39+cRevision*I39+cSuccess*J39)/(1+cDR)^cycle</f>
        <v>139.09649839133621</v>
      </c>
      <c r="N39" s="132">
        <f t="shared" ref="N39:N66" si="14">(J39+I39+H39)</f>
        <v>100.32152192104414</v>
      </c>
      <c r="O39" s="133">
        <f>(uSuccessP*H39+uRevision*NP1!I39+uSuccessR*NP1!J39)/(1+oDR)^cycle</f>
        <v>51.999461463959172</v>
      </c>
      <c r="P39" s="29"/>
      <c r="Q39" s="29"/>
    </row>
    <row r="40" spans="1:17" x14ac:dyDescent="0.15">
      <c r="A40">
        <v>34</v>
      </c>
      <c r="C40" s="134">
        <f t="shared" si="6"/>
        <v>8.4958044487692952E-4</v>
      </c>
      <c r="E40" s="134">
        <f t="shared" si="10"/>
        <v>0.15480000000000002</v>
      </c>
      <c r="G40" s="25"/>
      <c r="H40" s="130">
        <f t="shared" si="7"/>
        <v>83.014637066313412</v>
      </c>
      <c r="I40" s="130">
        <f t="shared" si="8"/>
        <v>0.15649026077615891</v>
      </c>
      <c r="J40" s="130">
        <f t="shared" si="11"/>
        <v>1.617028357208478</v>
      </c>
      <c r="K40" s="130">
        <f t="shared" si="12"/>
        <v>915.21184431570214</v>
      </c>
      <c r="L40" s="130">
        <f t="shared" si="9"/>
        <v>1000.0000000000002</v>
      </c>
      <c r="M40" s="131">
        <f t="shared" si="13"/>
        <v>114.2541101487782</v>
      </c>
      <c r="N40" s="132">
        <f t="shared" si="14"/>
        <v>84.788155684298047</v>
      </c>
      <c r="O40" s="133">
        <f>(uSuccessP*H40+uRevision*NP1!I40+uSuccessR*NP1!J40)/(1+oDR)^cycle</f>
        <v>43.292535796347657</v>
      </c>
      <c r="P40" s="29"/>
      <c r="Q40" s="29"/>
    </row>
    <row r="41" spans="1:17" x14ac:dyDescent="0.15">
      <c r="A41">
        <v>35</v>
      </c>
      <c r="C41" s="134">
        <f t="shared" si="6"/>
        <v>8.6098912976584341E-4</v>
      </c>
      <c r="E41" s="134">
        <f t="shared" si="10"/>
        <v>0.15480000000000002</v>
      </c>
      <c r="G41" s="25"/>
      <c r="H41" s="130">
        <f t="shared" si="7"/>
        <v>70.092496548322544</v>
      </c>
      <c r="I41" s="130">
        <f t="shared" si="8"/>
        <v>0.13615583441389162</v>
      </c>
      <c r="J41" s="130">
        <f t="shared" si="11"/>
        <v>1.4311669964167526</v>
      </c>
      <c r="K41" s="130">
        <f t="shared" si="12"/>
        <v>928.34018062084704</v>
      </c>
      <c r="L41" s="130">
        <f t="shared" si="9"/>
        <v>1000.0000000000002</v>
      </c>
      <c r="M41" s="131">
        <f t="shared" si="13"/>
        <v>93.781010657867895</v>
      </c>
      <c r="N41" s="132">
        <f t="shared" si="14"/>
        <v>71.659819379153191</v>
      </c>
      <c r="O41" s="133">
        <f>(uSuccessP*H41+uRevision*NP1!I41+uSuccessR*NP1!J41)/(1+oDR)^cycle</f>
        <v>36.04342147115274</v>
      </c>
      <c r="P41" s="29"/>
      <c r="Q41" s="29"/>
    </row>
    <row r="42" spans="1:17" x14ac:dyDescent="0.15">
      <c r="A42">
        <v>36</v>
      </c>
      <c r="C42" s="134">
        <f t="shared" si="6"/>
        <v>8.7221839799012102E-4</v>
      </c>
      <c r="E42" s="134">
        <f t="shared" si="10"/>
        <v>0.15480000000000002</v>
      </c>
      <c r="G42" s="25"/>
      <c r="H42" s="130">
        <f t="shared" si="7"/>
        <v>59.181042117591701</v>
      </c>
      <c r="I42" s="130">
        <f t="shared" si="8"/>
        <v>0.11838264490717608</v>
      </c>
      <c r="J42" s="130">
        <f t="shared" si="11"/>
        <v>1.2647314600731123</v>
      </c>
      <c r="K42" s="130">
        <f t="shared" si="12"/>
        <v>939.4358437774282</v>
      </c>
      <c r="L42" s="130">
        <f t="shared" si="9"/>
        <v>1000.0000000000002</v>
      </c>
      <c r="M42" s="131">
        <f t="shared" si="13"/>
        <v>76.923817030582185</v>
      </c>
      <c r="N42" s="132">
        <f t="shared" si="14"/>
        <v>60.564156222571988</v>
      </c>
      <c r="O42" s="133">
        <f>(uSuccessP*H42+uRevision*NP1!I42+uSuccessR*NP1!J42)/(1+oDR)^cycle</f>
        <v>30.008052616677737</v>
      </c>
      <c r="P42" s="29"/>
      <c r="Q42" s="29"/>
    </row>
    <row r="43" spans="1:17" x14ac:dyDescent="0.15">
      <c r="A43">
        <v>37</v>
      </c>
      <c r="C43" s="134">
        <f t="shared" si="6"/>
        <v>8.8327600852844412E-4</v>
      </c>
      <c r="E43" s="134">
        <f t="shared" si="10"/>
        <v>0.15480000000000002</v>
      </c>
      <c r="G43" s="25"/>
      <c r="H43" s="130">
        <f t="shared" si="7"/>
        <v>49.967543603126323</v>
      </c>
      <c r="I43" s="130">
        <f t="shared" si="8"/>
        <v>0.10286245306510464</v>
      </c>
      <c r="J43" s="130">
        <f t="shared" si="11"/>
        <v>1.1160511302282716</v>
      </c>
      <c r="K43" s="130">
        <f t="shared" si="12"/>
        <v>948.81354281358051</v>
      </c>
      <c r="L43" s="130">
        <f t="shared" si="9"/>
        <v>1000.0000000000002</v>
      </c>
      <c r="M43" s="131">
        <f t="shared" si="13"/>
        <v>63.055619862322182</v>
      </c>
      <c r="N43" s="132">
        <f t="shared" si="14"/>
        <v>51.186457186419702</v>
      </c>
      <c r="O43" s="133">
        <f>(uSuccessP*H43+uRevision*NP1!I43+uSuccessR*NP1!J43)/(1+oDR)^cycle</f>
        <v>24.983221682574033</v>
      </c>
      <c r="P43" s="29"/>
      <c r="Q43" s="29"/>
    </row>
    <row r="44" spans="1:17" x14ac:dyDescent="0.15">
      <c r="A44">
        <v>38</v>
      </c>
      <c r="C44" s="134">
        <f t="shared" si="6"/>
        <v>8.9416918278795166E-4</v>
      </c>
      <c r="E44" s="134">
        <f t="shared" si="10"/>
        <v>0.15480000000000002</v>
      </c>
      <c r="G44" s="25"/>
      <c r="H44" s="130">
        <f t="shared" si="7"/>
        <v>42.187888415732836</v>
      </c>
      <c r="I44" s="130">
        <f t="shared" si="8"/>
        <v>8.9321482838659677E-2</v>
      </c>
      <c r="J44" s="130">
        <f t="shared" si="11"/>
        <v>0.98352646632912855</v>
      </c>
      <c r="K44" s="130">
        <f t="shared" si="12"/>
        <v>956.73926363509963</v>
      </c>
      <c r="L44" s="130">
        <f t="shared" si="9"/>
        <v>1000.0000000000002</v>
      </c>
      <c r="M44" s="131">
        <f t="shared" si="13"/>
        <v>51.655548942906563</v>
      </c>
      <c r="N44" s="132">
        <f t="shared" si="14"/>
        <v>43.260736364900623</v>
      </c>
      <c r="O44" s="133">
        <f>(uSuccessP*H44+uRevision*NP1!I44+uSuccessR*NP1!J44)/(1+oDR)^cycle</f>
        <v>20.799740010382223</v>
      </c>
      <c r="P44" s="29"/>
      <c r="Q44" s="29"/>
    </row>
    <row r="45" spans="1:17" x14ac:dyDescent="0.15">
      <c r="A45">
        <v>39</v>
      </c>
      <c r="C45" s="134">
        <f t="shared" si="6"/>
        <v>9.0490465510928431E-4</v>
      </c>
      <c r="E45" s="134">
        <f t="shared" si="10"/>
        <v>0.15480000000000002</v>
      </c>
      <c r="G45" s="25"/>
      <c r="H45" s="130">
        <f t="shared" si="7"/>
        <v>35.619027272360761</v>
      </c>
      <c r="I45" s="130">
        <f t="shared" si="8"/>
        <v>7.7517075269792846E-2</v>
      </c>
      <c r="J45" s="130">
        <f t="shared" si="11"/>
        <v>0.86564359832667614</v>
      </c>
      <c r="K45" s="130">
        <f t="shared" si="12"/>
        <v>963.43781205404298</v>
      </c>
      <c r="L45" s="130">
        <f t="shared" si="9"/>
        <v>1000.0000000000002</v>
      </c>
      <c r="M45" s="131">
        <f t="shared" si="13"/>
        <v>42.291449457005911</v>
      </c>
      <c r="N45" s="132">
        <f t="shared" si="14"/>
        <v>36.562187945957227</v>
      </c>
      <c r="O45" s="133">
        <f>(uSuccessP*H45+uRevision*NP1!I45+uSuccessR*NP1!J45)/(1+oDR)^cycle</f>
        <v>17.316743186153595</v>
      </c>
      <c r="P45" s="29"/>
      <c r="Q45" s="29"/>
    </row>
    <row r="46" spans="1:17" x14ac:dyDescent="0.15">
      <c r="A46">
        <v>40</v>
      </c>
      <c r="C46" s="134">
        <f t="shared" si="6"/>
        <v>9.1548871734425941E-4</v>
      </c>
      <c r="E46" s="134">
        <f t="shared" si="10"/>
        <v>0.15480000000000002</v>
      </c>
      <c r="G46" s="25"/>
      <c r="H46" s="130">
        <f t="shared" si="7"/>
        <v>30.07259303300869</v>
      </c>
      <c r="I46" s="130">
        <f t="shared" si="8"/>
        <v>6.7234561523690797E-2</v>
      </c>
      <c r="J46" s="130">
        <f t="shared" si="11"/>
        <v>0.76098331588527257</v>
      </c>
      <c r="K46" s="130">
        <f t="shared" si="12"/>
        <v>969.09918908958252</v>
      </c>
      <c r="L46" s="130">
        <f t="shared" si="9"/>
        <v>1000.0000000000002</v>
      </c>
      <c r="M46" s="131">
        <f t="shared" si="13"/>
        <v>34.605243006097545</v>
      </c>
      <c r="N46" s="132">
        <f t="shared" si="14"/>
        <v>30.900810910417654</v>
      </c>
      <c r="O46" s="133">
        <f>(uSuccessP*H46+uRevision*NP1!I46+uSuccessR*NP1!J46)/(1+oDR)^cycle</f>
        <v>14.416949579149119</v>
      </c>
      <c r="P46" s="29"/>
      <c r="Q46" s="29"/>
    </row>
    <row r="47" spans="1:17" x14ac:dyDescent="0.15">
      <c r="A47">
        <v>41</v>
      </c>
      <c r="C47" s="134">
        <f t="shared" si="6"/>
        <v>9.2592725833473555E-4</v>
      </c>
      <c r="E47" s="134">
        <f t="shared" si="10"/>
        <v>0.15480000000000002</v>
      </c>
      <c r="G47" s="25"/>
      <c r="H47" s="130">
        <f t="shared" si="7"/>
        <v>25.389510597880875</v>
      </c>
      <c r="I47" s="130">
        <f t="shared" si="8"/>
        <v>5.8284366253480907E-2</v>
      </c>
      <c r="J47" s="130">
        <f t="shared" si="11"/>
        <v>0.66822572612017095</v>
      </c>
      <c r="K47" s="130">
        <f t="shared" si="12"/>
        <v>973.88397930974565</v>
      </c>
      <c r="L47" s="130">
        <f t="shared" si="9"/>
        <v>1000.0000000000002</v>
      </c>
      <c r="M47" s="131">
        <f t="shared" si="13"/>
        <v>28.30059326336605</v>
      </c>
      <c r="N47" s="132">
        <f t="shared" si="14"/>
        <v>26.116020690254526</v>
      </c>
      <c r="O47" s="133">
        <f>(uSuccessP*H47+uRevision*NP1!I47+uSuccessR*NP1!J47)/(1+oDR)^cycle</f>
        <v>12.002712533819642</v>
      </c>
      <c r="P47" s="29"/>
      <c r="Q47" s="29"/>
    </row>
    <row r="48" spans="1:17" x14ac:dyDescent="0.15">
      <c r="A48">
        <v>42</v>
      </c>
      <c r="C48" s="134">
        <f t="shared" si="6"/>
        <v>9.3622579898622327E-4</v>
      </c>
      <c r="E48" s="134">
        <f t="shared" si="10"/>
        <v>0.15480000000000002</v>
      </c>
      <c r="G48" s="25"/>
      <c r="H48" s="130">
        <f t="shared" si="7"/>
        <v>21.435444042483542</v>
      </c>
      <c r="I48" s="130">
        <f t="shared" si="8"/>
        <v>5.0499343890177045E-2</v>
      </c>
      <c r="J48" s="130">
        <f t="shared" si="11"/>
        <v>0.58615161370433411</v>
      </c>
      <c r="K48" s="130">
        <f t="shared" si="12"/>
        <v>977.92790499992213</v>
      </c>
      <c r="L48" s="130">
        <f t="shared" si="9"/>
        <v>1000.0000000000002</v>
      </c>
      <c r="M48" s="131">
        <f t="shared" si="13"/>
        <v>23.132540513834911</v>
      </c>
      <c r="N48" s="132">
        <f t="shared" si="14"/>
        <v>22.072095000078054</v>
      </c>
      <c r="O48" s="133">
        <f>(uSuccessP*H48+uRevision*NP1!I48+uSuccessR*NP1!J48)/(1+oDR)^cycle</f>
        <v>9.9927333803585281</v>
      </c>
      <c r="P48" s="29"/>
      <c r="Q48" s="29"/>
    </row>
    <row r="49" spans="1:17" x14ac:dyDescent="0.15">
      <c r="A49">
        <v>43</v>
      </c>
      <c r="C49" s="134">
        <f t="shared" si="6"/>
        <v>9.4638952352144035E-4</v>
      </c>
      <c r="E49" s="134">
        <f t="shared" si="10"/>
        <v>0.15480000000000002</v>
      </c>
      <c r="G49" s="25"/>
      <c r="H49" s="130">
        <f t="shared" si="7"/>
        <v>18.096951025033253</v>
      </c>
      <c r="I49" s="130">
        <f t="shared" si="8"/>
        <v>4.3732344222009861E-2</v>
      </c>
      <c r="J49" s="130">
        <f t="shared" si="11"/>
        <v>0.5136413379329039</v>
      </c>
      <c r="K49" s="130">
        <f t="shared" si="12"/>
        <v>981.34567529281207</v>
      </c>
      <c r="L49" s="130">
        <f t="shared" si="9"/>
        <v>1000.0000000000002</v>
      </c>
      <c r="M49" s="131">
        <f t="shared" si="13"/>
        <v>18.898811286345744</v>
      </c>
      <c r="N49" s="132">
        <f t="shared" si="14"/>
        <v>18.654324707188167</v>
      </c>
      <c r="O49" s="133">
        <f>(uSuccessP*H49+uRevision*NP1!I49+uSuccessR*NP1!J49)/(1+oDR)^cycle</f>
        <v>8.3193246597164592</v>
      </c>
      <c r="P49" s="29"/>
      <c r="Q49" s="29"/>
    </row>
    <row r="50" spans="1:17" x14ac:dyDescent="0.15">
      <c r="A50">
        <v>44</v>
      </c>
      <c r="C50" s="134">
        <f t="shared" si="6"/>
        <v>9.5642330740963732E-4</v>
      </c>
      <c r="E50" s="134">
        <f t="shared" si="10"/>
        <v>0.15480000000000002</v>
      </c>
      <c r="G50" s="25"/>
      <c r="H50" s="130">
        <f t="shared" si="7"/>
        <v>15.278234660604712</v>
      </c>
      <c r="I50" s="130">
        <f t="shared" si="8"/>
        <v>3.7853999270708684E-2</v>
      </c>
      <c r="J50" s="130">
        <f t="shared" si="11"/>
        <v>0.44967193575557673</v>
      </c>
      <c r="K50" s="130">
        <f t="shared" si="12"/>
        <v>984.23423940436919</v>
      </c>
      <c r="L50" s="130">
        <f t="shared" si="9"/>
        <v>1000.0000000000002</v>
      </c>
      <c r="M50" s="131">
        <f t="shared" si="13"/>
        <v>15.432547939822218</v>
      </c>
      <c r="N50" s="132">
        <f t="shared" si="14"/>
        <v>15.765760595630997</v>
      </c>
      <c r="O50" s="133">
        <f>(uSuccessP*H50+uRevision*NP1!I50+uSuccessR*NP1!J50)/(1+oDR)^cycle</f>
        <v>6.9261314695466751</v>
      </c>
      <c r="P50" s="29"/>
      <c r="Q50" s="29"/>
    </row>
    <row r="51" spans="1:17" x14ac:dyDescent="0.15">
      <c r="A51">
        <v>45</v>
      </c>
      <c r="C51" s="134">
        <f t="shared" si="6"/>
        <v>9.66331742393578E-4</v>
      </c>
      <c r="E51" s="134">
        <f t="shared" si="10"/>
        <v>0.15480000000000002</v>
      </c>
      <c r="G51" s="25"/>
      <c r="H51" s="130">
        <f t="shared" si="7"/>
        <v>12.898400092022822</v>
      </c>
      <c r="I51" s="130">
        <f t="shared" si="8"/>
        <v>3.2750720550503182E-2</v>
      </c>
      <c r="J51" s="130">
        <f t="shared" si="11"/>
        <v>0.39331296286857914</v>
      </c>
      <c r="K51" s="130">
        <f t="shared" si="12"/>
        <v>986.6755362245583</v>
      </c>
      <c r="L51" s="130">
        <f t="shared" si="9"/>
        <v>1000.0000000000002</v>
      </c>
      <c r="M51" s="131">
        <f t="shared" si="13"/>
        <v>12.596238046099355</v>
      </c>
      <c r="N51" s="132">
        <f t="shared" si="14"/>
        <v>13.324463775441904</v>
      </c>
      <c r="O51" s="133">
        <f>(uSuccessP*H51+uRevision*NP1!I51+uSuccessR*NP1!J51)/(1+oDR)^cycle</f>
        <v>5.7662342505344677</v>
      </c>
      <c r="P51" s="29"/>
      <c r="Q51" s="29"/>
    </row>
    <row r="52" spans="1:17" x14ac:dyDescent="0.15">
      <c r="A52">
        <v>46</v>
      </c>
      <c r="C52" s="134">
        <f t="shared" si="6"/>
        <v>9.761191589737761E-4</v>
      </c>
      <c r="E52" s="134">
        <f t="shared" si="10"/>
        <v>0.15480000000000002</v>
      </c>
      <c r="G52" s="25"/>
      <c r="H52" s="130">
        <f t="shared" si="7"/>
        <v>10.889137382327755</v>
      </c>
      <c r="I52" s="130">
        <f t="shared" si="8"/>
        <v>2.8322893964675758E-2</v>
      </c>
      <c r="J52" s="130">
        <f t="shared" si="11"/>
        <v>0.34372149230005511</v>
      </c>
      <c r="K52" s="130">
        <f t="shared" si="12"/>
        <v>988.73881823140766</v>
      </c>
      <c r="L52" s="130">
        <f t="shared" si="9"/>
        <v>1000.0000000000001</v>
      </c>
      <c r="M52" s="131">
        <f t="shared" si="13"/>
        <v>10.276654627506955</v>
      </c>
      <c r="N52" s="132">
        <f t="shared" si="14"/>
        <v>11.261181768592486</v>
      </c>
      <c r="O52" s="133">
        <f>(uSuccessP*H52+uRevision*NP1!I52+uSuccessR*NP1!J52)/(1+oDR)^cycle</f>
        <v>4.8005691662544985</v>
      </c>
      <c r="P52" s="29"/>
      <c r="Q52" s="29"/>
    </row>
    <row r="53" spans="1:17" x14ac:dyDescent="0.15">
      <c r="A53">
        <v>47</v>
      </c>
      <c r="C53" s="134">
        <f t="shared" si="6"/>
        <v>9.8578964665785307E-4</v>
      </c>
      <c r="E53" s="134">
        <f t="shared" si="10"/>
        <v>0.15480000000000002</v>
      </c>
      <c r="G53" s="25"/>
      <c r="H53" s="130">
        <f t="shared" si="7"/>
        <v>9.1927645166508842</v>
      </c>
      <c r="I53" s="130">
        <f t="shared" si="8"/>
        <v>2.44832585845359E-2</v>
      </c>
      <c r="J53" s="130">
        <f t="shared" si="11"/>
        <v>0.30013659769965478</v>
      </c>
      <c r="K53" s="130">
        <f t="shared" si="12"/>
        <v>990.48261562706512</v>
      </c>
      <c r="L53" s="130">
        <f t="shared" si="9"/>
        <v>1000.0000000000002</v>
      </c>
      <c r="M53" s="131">
        <f t="shared" si="13"/>
        <v>8.3806458579363508</v>
      </c>
      <c r="N53" s="132">
        <f t="shared" si="14"/>
        <v>9.5173843729350747</v>
      </c>
      <c r="O53" s="133">
        <f>(uSuccessP*H53+uRevision*NP1!I53+uSuccessR*NP1!J53)/(1+oDR)^cycle</f>
        <v>3.9966129156792611</v>
      </c>
      <c r="P53" s="29"/>
      <c r="Q53" s="29"/>
    </row>
    <row r="54" spans="1:17" x14ac:dyDescent="0.15">
      <c r="A54">
        <v>48</v>
      </c>
      <c r="C54" s="134">
        <f t="shared" si="6"/>
        <v>9.953470722412483E-4</v>
      </c>
      <c r="E54" s="134">
        <f t="shared" si="10"/>
        <v>0.15480000000000002</v>
      </c>
      <c r="G54" s="25"/>
      <c r="H54" s="130">
        <f t="shared" si="7"/>
        <v>7.7605745782258753</v>
      </c>
      <c r="I54" s="130">
        <f t="shared" si="8"/>
        <v>2.1155455155437885E-2</v>
      </c>
      <c r="J54" s="130">
        <f t="shared" si="11"/>
        <v>0.26187357345172102</v>
      </c>
      <c r="K54" s="130">
        <f t="shared" si="12"/>
        <v>991.95639639316721</v>
      </c>
      <c r="L54" s="130">
        <f t="shared" si="9"/>
        <v>1000.0000000000002</v>
      </c>
      <c r="M54" s="131">
        <f t="shared" si="13"/>
        <v>6.8316369337589213</v>
      </c>
      <c r="N54" s="132">
        <f t="shared" si="14"/>
        <v>8.0436036068330345</v>
      </c>
      <c r="O54" s="133">
        <f>(uSuccessP*H54+uRevision*NP1!I54+uSuccessR*NP1!J54)/(1+oDR)^cycle</f>
        <v>3.3272877151111504</v>
      </c>
      <c r="P54" s="29"/>
      <c r="Q54" s="29"/>
    </row>
    <row r="55" spans="1:17" x14ac:dyDescent="0.15">
      <c r="A55">
        <v>49</v>
      </c>
      <c r="C55" s="134">
        <f t="shared" si="6"/>
        <v>1.0047950963462116E-3</v>
      </c>
      <c r="E55" s="134">
        <f t="shared" si="10"/>
        <v>0.15480000000000002</v>
      </c>
      <c r="G55" s="25"/>
      <c r="H55" s="130">
        <f t="shared" si="7"/>
        <v>6.5514398462354793</v>
      </c>
      <c r="I55" s="130">
        <f t="shared" si="8"/>
        <v>1.8272730219099267E-2</v>
      </c>
      <c r="J55" s="130">
        <f t="shared" si="11"/>
        <v>0.22831808293759309</v>
      </c>
      <c r="K55" s="130">
        <f t="shared" si="12"/>
        <v>993.20196934060812</v>
      </c>
      <c r="L55" s="130">
        <f t="shared" si="9"/>
        <v>1000.0000000000003</v>
      </c>
      <c r="M55" s="131">
        <f t="shared" si="13"/>
        <v>5.5667277415760719</v>
      </c>
      <c r="N55" s="132">
        <f t="shared" si="14"/>
        <v>6.7980306593921718</v>
      </c>
      <c r="O55" s="133">
        <f>(uSuccessP*H55+uRevision*NP1!I55+uSuccessR*NP1!J55)/(1+oDR)^cycle</f>
        <v>2.7700495948798727</v>
      </c>
      <c r="P55" s="29"/>
      <c r="Q55" s="29"/>
    </row>
    <row r="56" spans="1:17" x14ac:dyDescent="0.15">
      <c r="A56">
        <v>50</v>
      </c>
      <c r="C56" s="134">
        <f t="shared" si="6"/>
        <v>1.0141371884196948E-3</v>
      </c>
      <c r="E56" s="134">
        <f t="shared" si="10"/>
        <v>0.15480000000000002</v>
      </c>
      <c r="G56" s="25"/>
      <c r="H56" s="130">
        <f t="shared" si="7"/>
        <v>5.5306328992524652</v>
      </c>
      <c r="I56" s="130">
        <f t="shared" si="8"/>
        <v>1.5776782103265729E-2</v>
      </c>
      <c r="J56" s="130">
        <f t="shared" si="11"/>
        <v>0.19892037735815066</v>
      </c>
      <c r="K56" s="130">
        <f t="shared" si="12"/>
        <v>994.25466994128635</v>
      </c>
      <c r="L56" s="130">
        <f t="shared" si="9"/>
        <v>1000.0000000000002</v>
      </c>
      <c r="M56" s="131">
        <f t="shared" si="13"/>
        <v>4.5342879982327053</v>
      </c>
      <c r="N56" s="132">
        <f t="shared" si="14"/>
        <v>5.7453300587138818</v>
      </c>
      <c r="O56" s="133">
        <f>(uSuccessP*H56+uRevision*NP1!I56+uSuccessR*NP1!J56)/(1+oDR)^cycle</f>
        <v>2.3061293248182344</v>
      </c>
      <c r="P56" s="29"/>
      <c r="Q56" s="29"/>
    </row>
    <row r="57" spans="1:17" x14ac:dyDescent="0.15">
      <c r="A57">
        <v>51</v>
      </c>
      <c r="C57" s="134">
        <f t="shared" si="6"/>
        <v>1.0233766403596745E-3</v>
      </c>
      <c r="E57" s="134">
        <f t="shared" si="10"/>
        <v>0.15480000000000002</v>
      </c>
      <c r="G57" s="25"/>
      <c r="H57" s="130">
        <f t="shared" si="7"/>
        <v>4.6688310059326836</v>
      </c>
      <c r="I57" s="130">
        <f t="shared" si="8"/>
        <v>1.3616735609825702E-2</v>
      </c>
      <c r="J57" s="130">
        <f t="shared" si="11"/>
        <v>0.17318968844039775</v>
      </c>
      <c r="K57" s="130">
        <f t="shared" si="12"/>
        <v>995.14436257001728</v>
      </c>
      <c r="L57" s="130">
        <f t="shared" si="9"/>
        <v>1000.0000000000002</v>
      </c>
      <c r="M57" s="131">
        <f t="shared" si="13"/>
        <v>3.6919670254617074</v>
      </c>
      <c r="N57" s="132">
        <f t="shared" si="14"/>
        <v>4.8556374299829068</v>
      </c>
      <c r="O57" s="133">
        <f>(uSuccessP*H57+uRevision*NP1!I57+uSuccessR*NP1!J57)/(1+oDR)^cycle</f>
        <v>1.9199004187912214</v>
      </c>
      <c r="P57" s="29"/>
      <c r="Q57" s="29"/>
    </row>
    <row r="58" spans="1:17" x14ac:dyDescent="0.15">
      <c r="A58">
        <v>52</v>
      </c>
      <c r="C58" s="134">
        <f t="shared" si="6"/>
        <v>1.0325165789211166E-3</v>
      </c>
      <c r="E58" s="134">
        <f t="shared" si="10"/>
        <v>0.15480000000000002</v>
      </c>
      <c r="G58" s="25"/>
      <c r="H58" s="130">
        <f t="shared" si="7"/>
        <v>3.9412753207964975</v>
      </c>
      <c r="I58" s="130">
        <f t="shared" si="8"/>
        <v>1.174823295542236E-2</v>
      </c>
      <c r="J58" s="130">
        <f t="shared" si="11"/>
        <v>0.15068886735743642</v>
      </c>
      <c r="K58" s="130">
        <f t="shared" si="12"/>
        <v>995.89628757889079</v>
      </c>
      <c r="L58" s="130">
        <f t="shared" si="9"/>
        <v>1000.0000000000001</v>
      </c>
      <c r="M58" s="131">
        <f t="shared" si="13"/>
        <v>3.0050485488096919</v>
      </c>
      <c r="N58" s="132">
        <f t="shared" si="14"/>
        <v>4.1037124211093561</v>
      </c>
      <c r="O58" s="133">
        <f>(uSuccessP*H58+uRevision*NP1!I58+uSuccessR*NP1!J58)/(1+oDR)^cycle</f>
        <v>1.5983529451762217</v>
      </c>
      <c r="P58" s="29"/>
      <c r="Q58" s="29"/>
    </row>
    <row r="59" spans="1:17" x14ac:dyDescent="0.15">
      <c r="A59">
        <v>53</v>
      </c>
      <c r="C59" s="134">
        <f t="shared" si="6"/>
        <v>1.0415599770320361E-3</v>
      </c>
      <c r="E59" s="134">
        <f t="shared" si="10"/>
        <v>0.15480000000000002</v>
      </c>
      <c r="G59" s="25"/>
      <c r="H59" s="130">
        <f t="shared" si="7"/>
        <v>3.3270608265045936</v>
      </c>
      <c r="I59" s="130">
        <f t="shared" si="8"/>
        <v>1.0132629326903187E-2</v>
      </c>
      <c r="J59" s="130">
        <f t="shared" si="11"/>
        <v>0.13102931783102231</v>
      </c>
      <c r="K59" s="130">
        <f t="shared" si="12"/>
        <v>996.53177722633768</v>
      </c>
      <c r="L59" s="130">
        <f t="shared" si="9"/>
        <v>1000.0000000000002</v>
      </c>
      <c r="M59" s="131">
        <f t="shared" si="13"/>
        <v>2.4450921619023886</v>
      </c>
      <c r="N59" s="132">
        <f t="shared" si="14"/>
        <v>3.4682227736625189</v>
      </c>
      <c r="O59" s="133">
        <f>(uSuccessP*H59+uRevision*NP1!I59+uSuccessR*NP1!J59)/(1+oDR)^cycle</f>
        <v>1.33065543103757</v>
      </c>
      <c r="P59" s="29"/>
      <c r="Q59" s="29"/>
    </row>
    <row r="60" spans="1:17" x14ac:dyDescent="0.15">
      <c r="A60">
        <v>54</v>
      </c>
      <c r="C60" s="134">
        <f t="shared" si="6"/>
        <v>1.0505096641344469E-3</v>
      </c>
      <c r="E60" s="134">
        <f t="shared" si="10"/>
        <v>0.15480000000000002</v>
      </c>
      <c r="G60" s="25"/>
      <c r="H60" s="130">
        <f t="shared" si="7"/>
        <v>2.8085367010102762</v>
      </c>
      <c r="I60" s="130">
        <f t="shared" si="8"/>
        <v>8.7362822646471078E-3</v>
      </c>
      <c r="J60" s="130">
        <f t="shared" si="11"/>
        <v>0.11386625243809967</v>
      </c>
      <c r="K60" s="130">
        <f t="shared" si="12"/>
        <v>997.06886076428714</v>
      </c>
      <c r="L60" s="130">
        <f t="shared" si="9"/>
        <v>1000.0000000000001</v>
      </c>
      <c r="M60" s="131">
        <f t="shared" si="13"/>
        <v>1.9888126335542591</v>
      </c>
      <c r="N60" s="132">
        <f t="shared" si="14"/>
        <v>2.9311392357130228</v>
      </c>
      <c r="O60" s="133">
        <f>(uSuccessP*H60+uRevision*NP1!I60+uSuccessR*NP1!J60)/(1+oDR)^cycle</f>
        <v>1.1077901125945069</v>
      </c>
      <c r="P60" s="29"/>
      <c r="Q60" s="29"/>
    </row>
    <row r="61" spans="1:17" x14ac:dyDescent="0.15">
      <c r="A61">
        <v>55</v>
      </c>
      <c r="C61" s="134">
        <f t="shared" si="6"/>
        <v>1.0593683356502348E-3</v>
      </c>
      <c r="E61" s="134">
        <f t="shared" si="10"/>
        <v>0.15480000000000002</v>
      </c>
      <c r="G61" s="25"/>
      <c r="H61" s="130">
        <f t="shared" si="7"/>
        <v>2.3707999448433235</v>
      </c>
      <c r="I61" s="130">
        <f t="shared" si="8"/>
        <v>7.5299249480858445E-3</v>
      </c>
      <c r="J61" s="130">
        <f t="shared" si="11"/>
        <v>9.8894286587944635E-2</v>
      </c>
      <c r="K61" s="130">
        <f t="shared" si="12"/>
        <v>997.52277584362082</v>
      </c>
      <c r="L61" s="130">
        <f t="shared" si="9"/>
        <v>1000.0000000000002</v>
      </c>
      <c r="M61" s="131">
        <f t="shared" si="13"/>
        <v>1.6171562923810523</v>
      </c>
      <c r="N61" s="132">
        <f t="shared" si="14"/>
        <v>2.477224156379354</v>
      </c>
      <c r="O61" s="133">
        <f>(uSuccessP*H61+uRevision*NP1!I61+uSuccessR*NP1!J61)/(1+oDR)^cycle</f>
        <v>0.92224925319163797</v>
      </c>
      <c r="P61" s="29"/>
      <c r="Q61" s="29"/>
    </row>
    <row r="62" spans="1:17" x14ac:dyDescent="0.15">
      <c r="A62">
        <v>56</v>
      </c>
      <c r="C62" s="134">
        <f t="shared" si="6"/>
        <v>1.0681385616616579E-3</v>
      </c>
      <c r="E62" s="134">
        <f t="shared" si="10"/>
        <v>0.15480000000000002</v>
      </c>
      <c r="G62" s="25"/>
      <c r="H62" s="130">
        <f t="shared" si="7"/>
        <v>2.0012677705385045</v>
      </c>
      <c r="I62" s="130">
        <f t="shared" si="8"/>
        <v>6.4881143065902702E-3</v>
      </c>
      <c r="J62" s="130">
        <f t="shared" si="11"/>
        <v>8.5843373627773445E-2</v>
      </c>
      <c r="K62" s="130">
        <f t="shared" si="12"/>
        <v>997.90640074152725</v>
      </c>
      <c r="L62" s="130">
        <f t="shared" si="9"/>
        <v>1000.0000000000001</v>
      </c>
      <c r="M62" s="131">
        <f t="shared" si="13"/>
        <v>1.3145405115260353</v>
      </c>
      <c r="N62" s="132">
        <f t="shared" si="14"/>
        <v>2.0935992584728682</v>
      </c>
      <c r="O62" s="133">
        <f>(uSuccessP*H62+uRevision*NP1!I62+uSuccessR*NP1!J62)/(1+oDR)^cycle</f>
        <v>0.76778230539724601</v>
      </c>
      <c r="P62" s="29"/>
      <c r="Q62" s="29"/>
    </row>
    <row r="63" spans="1:17" x14ac:dyDescent="0.15">
      <c r="A63">
        <v>57</v>
      </c>
      <c r="C63" s="134">
        <f t="shared" si="6"/>
        <v>1.076822794882748E-3</v>
      </c>
      <c r="E63" s="134">
        <f t="shared" si="10"/>
        <v>0.15480000000000002</v>
      </c>
      <c r="G63" s="25"/>
      <c r="H63" s="130">
        <f t="shared" si="7"/>
        <v>1.6893165089051638</v>
      </c>
      <c r="I63" s="130">
        <f t="shared" si="8"/>
        <v>5.5887456990909761E-3</v>
      </c>
      <c r="J63" s="130">
        <f t="shared" si="11"/>
        <v>7.4475076370881452E-2</v>
      </c>
      <c r="K63" s="130">
        <f t="shared" si="12"/>
        <v>998.23061966902503</v>
      </c>
      <c r="L63" s="130">
        <f t="shared" si="9"/>
        <v>1000.0000000000001</v>
      </c>
      <c r="M63" s="131">
        <f t="shared" si="13"/>
        <v>1.0682280201241205</v>
      </c>
      <c r="N63" s="132">
        <f t="shared" si="14"/>
        <v>1.7693803309751361</v>
      </c>
      <c r="O63" s="133">
        <f>(uSuccessP*H63+uRevision*NP1!I63+uSuccessR*NP1!J63)/(1+oDR)^cycle</f>
        <v>0.63918540523120637</v>
      </c>
      <c r="P63" s="29"/>
      <c r="Q63" s="29"/>
    </row>
    <row r="64" spans="1:17" x14ac:dyDescent="0.15">
      <c r="A64">
        <v>58</v>
      </c>
      <c r="C64" s="134">
        <f t="shared" si="6"/>
        <v>1.0854233779941103E-3</v>
      </c>
      <c r="E64" s="134">
        <f t="shared" si="10"/>
        <v>0.15480000000000002</v>
      </c>
      <c r="G64" s="25"/>
      <c r="H64" s="130">
        <f t="shared" si="7"/>
        <v>1.4259766896950474</v>
      </c>
      <c r="I64" s="130">
        <f t="shared" si="8"/>
        <v>4.8126266864323185E-3</v>
      </c>
      <c r="J64" s="130">
        <f t="shared" si="11"/>
        <v>6.4579164444723614E-2</v>
      </c>
      <c r="K64" s="130">
        <f t="shared" si="12"/>
        <v>998.50463151917393</v>
      </c>
      <c r="L64" s="130">
        <f t="shared" si="9"/>
        <v>1000.0000000000001</v>
      </c>
      <c r="M64" s="131">
        <f t="shared" si="13"/>
        <v>0.86781255017363901</v>
      </c>
      <c r="N64" s="132">
        <f t="shared" si="14"/>
        <v>1.4953684808262033</v>
      </c>
      <c r="O64" s="133">
        <f>(uSuccessP*H64+uRevision*NP1!I64+uSuccessR*NP1!J64)/(1+oDR)^cycle</f>
        <v>0.53212611144196242</v>
      </c>
      <c r="P64" s="29"/>
      <c r="Q64" s="29"/>
    </row>
    <row r="65" spans="1:17" x14ac:dyDescent="0.15">
      <c r="A65">
        <v>59</v>
      </c>
      <c r="C65" s="134">
        <f t="shared" si="6"/>
        <v>1.093942550398519E-3</v>
      </c>
      <c r="E65" s="134">
        <f t="shared" si="10"/>
        <v>0.15480000000000002</v>
      </c>
      <c r="G65" s="25"/>
      <c r="H65" s="130">
        <f t="shared" si="7"/>
        <v>1.2036755615535202</v>
      </c>
      <c r="I65" s="130">
        <f t="shared" si="8"/>
        <v>4.1431031545227821E-3</v>
      </c>
      <c r="J65" s="130">
        <f t="shared" si="11"/>
        <v>5.5970522752535397E-2</v>
      </c>
      <c r="K65" s="130">
        <f t="shared" si="12"/>
        <v>998.73621081253953</v>
      </c>
      <c r="L65" s="130">
        <f t="shared" si="9"/>
        <v>1000.0000000000001</v>
      </c>
      <c r="M65" s="131">
        <f t="shared" si="13"/>
        <v>0.70479632810362269</v>
      </c>
      <c r="N65" s="132">
        <f t="shared" si="14"/>
        <v>1.2637891874605784</v>
      </c>
      <c r="O65" s="133">
        <f>(uSuccessP*H65+uRevision*NP1!I65+uSuccessR*NP1!J65)/(1+oDR)^cycle</f>
        <v>0.44299748915574888</v>
      </c>
      <c r="P65" s="29"/>
      <c r="Q65" s="29"/>
    </row>
    <row r="66" spans="1:17" x14ac:dyDescent="0.15">
      <c r="A66">
        <v>60</v>
      </c>
      <c r="C66" s="134">
        <f t="shared" si="6"/>
        <v>1.1023824544542649E-3</v>
      </c>
      <c r="E66" s="134">
        <f t="shared" si="10"/>
        <v>0.15480000000000002</v>
      </c>
      <c r="G66" s="25"/>
      <c r="H66" s="130">
        <f t="shared" si="7"/>
        <v>1.0160196738051233</v>
      </c>
      <c r="I66" s="130">
        <f t="shared" si="8"/>
        <v>3.5657317300134012E-3</v>
      </c>
      <c r="J66" s="130">
        <f t="shared" si="11"/>
        <v>4.8486353643453696E-2</v>
      </c>
      <c r="K66" s="130">
        <f t="shared" si="12"/>
        <v>998.93192824082155</v>
      </c>
      <c r="L66" s="130">
        <f t="shared" si="9"/>
        <v>1000.0000000000001</v>
      </c>
      <c r="M66" s="131">
        <f t="shared" si="13"/>
        <v>0.57224326075506227</v>
      </c>
      <c r="N66" s="132">
        <f t="shared" si="14"/>
        <v>1.0680717591785904</v>
      </c>
      <c r="O66" s="133">
        <f>(uSuccessP*H66+uRevision*NP1!I66+uSuccessR*NP1!J66)/(1+oDR)^cycle</f>
        <v>0.36879662503205707</v>
      </c>
      <c r="P66" s="29"/>
      <c r="Q66" s="29"/>
    </row>
    <row r="67" spans="1:17" x14ac:dyDescent="0.15">
      <c r="M67" s="58" t="s">
        <v>130</v>
      </c>
      <c r="N67" s="58" t="s">
        <v>131</v>
      </c>
      <c r="O67" s="58" t="s">
        <v>132</v>
      </c>
    </row>
    <row r="68" spans="1:17" x14ac:dyDescent="0.15">
      <c r="I68" s="29"/>
      <c r="M68" s="128">
        <f>SUM(M6:M66)/1000</f>
        <v>610.31181775758273</v>
      </c>
      <c r="N68" s="129">
        <f>SUM(N6:N66)/1000</f>
        <v>20.917790824807657</v>
      </c>
      <c r="O68" s="108">
        <f>SUM(O6:O66)/1000</f>
        <v>14.697709857306155</v>
      </c>
    </row>
    <row r="69" spans="1:17" x14ac:dyDescent="0.15">
      <c r="I69" s="29"/>
    </row>
  </sheetData>
  <phoneticPr fontId="0" type="noConversion"/>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N2547"/>
  <sheetViews>
    <sheetView workbookViewId="0">
      <pane ySplit="5" topLeftCell="A9" activePane="bottomLeft" state="frozen"/>
      <selection pane="bottomLeft" activeCell="AX11" sqref="AX11"/>
    </sheetView>
  </sheetViews>
  <sheetFormatPr baseColWidth="10" defaultRowHeight="13" x14ac:dyDescent="0.15"/>
  <cols>
    <col min="1" max="1" width="8.83203125" customWidth="1"/>
    <col min="2" max="2" width="4.6640625" style="41" customWidth="1"/>
    <col min="3" max="7" width="9.1640625" style="11" customWidth="1"/>
    <col min="8" max="9" width="9.1640625" style="40" customWidth="1"/>
    <col min="10" max="12" width="9.33203125" style="59" bestFit="1" customWidth="1"/>
    <col min="13" max="15" width="9.1640625" style="11" customWidth="1"/>
    <col min="16" max="16" width="4.6640625" style="41" customWidth="1"/>
    <col min="17" max="17" width="9.33203125" style="59" bestFit="1" customWidth="1"/>
    <col min="18" max="18" width="9.33203125" style="78" bestFit="1" customWidth="1"/>
    <col min="19" max="22" width="9.33203125" style="78" customWidth="1"/>
    <col min="23" max="23" width="1.6640625" style="41" customWidth="1"/>
    <col min="24" max="24" width="10.6640625" style="28" customWidth="1"/>
    <col min="25" max="26" width="10.6640625" style="142" customWidth="1"/>
    <col min="27" max="27" width="2.6640625" style="41" customWidth="1"/>
    <col min="28" max="30" width="8.83203125" customWidth="1"/>
    <col min="31" max="31" width="2.5" style="89" customWidth="1"/>
    <col min="32" max="35" width="8.83203125" customWidth="1"/>
    <col min="36" max="36" width="2.5" style="41" customWidth="1"/>
    <col min="37" max="37" width="10.5" customWidth="1"/>
    <col min="38" max="38" width="2.5" style="41" customWidth="1"/>
    <col min="39" max="39" width="8.83203125" customWidth="1"/>
    <col min="40" max="40" width="9.5" bestFit="1" customWidth="1"/>
    <col min="41" max="41" width="2.5" style="41" customWidth="1"/>
    <col min="42" max="43" width="10.83203125" customWidth="1"/>
    <col min="44" max="44" width="2.5" style="41" customWidth="1"/>
    <col min="45" max="46" width="10.83203125" customWidth="1"/>
    <col min="47" max="47" width="8.83203125" customWidth="1"/>
    <col min="48" max="48" width="2.5" style="41" customWidth="1"/>
    <col min="49" max="49" width="16.33203125" customWidth="1"/>
    <col min="50" max="50" width="11" customWidth="1"/>
    <col min="51" max="256" width="8.83203125" customWidth="1"/>
  </cols>
  <sheetData>
    <row r="1" spans="1:144" x14ac:dyDescent="0.15">
      <c r="C1" s="106" t="s">
        <v>42</v>
      </c>
      <c r="Q1" s="59" t="s">
        <v>43</v>
      </c>
      <c r="Y1" s="28" t="s">
        <v>59</v>
      </c>
      <c r="Z1">
        <v>2200</v>
      </c>
      <c r="AK1" s="11">
        <f>AK4-AK3</f>
        <v>19.084043814207689</v>
      </c>
      <c r="AP1" s="28">
        <f>AK1*effpop</f>
        <v>5955513.4876606213</v>
      </c>
      <c r="AQ1" t="s">
        <v>152</v>
      </c>
      <c r="AV1"/>
    </row>
    <row r="2" spans="1:144" x14ac:dyDescent="0.15">
      <c r="C2" s="55" t="s">
        <v>126</v>
      </c>
      <c r="H2" s="55" t="s">
        <v>125</v>
      </c>
      <c r="J2" s="55" t="s">
        <v>144</v>
      </c>
      <c r="M2" s="55" t="s">
        <v>145</v>
      </c>
      <c r="Q2" s="59" t="s">
        <v>107</v>
      </c>
      <c r="R2" s="79"/>
      <c r="S2" s="59" t="s">
        <v>87</v>
      </c>
      <c r="T2" s="79"/>
      <c r="U2" s="59" t="s">
        <v>146</v>
      </c>
      <c r="V2" s="79"/>
      <c r="X2" s="28" t="s">
        <v>108</v>
      </c>
      <c r="AB2" t="s">
        <v>109</v>
      </c>
      <c r="AF2" t="s">
        <v>110</v>
      </c>
      <c r="AK2" t="s">
        <v>149</v>
      </c>
      <c r="AM2" t="s">
        <v>150</v>
      </c>
      <c r="AP2" t="s">
        <v>156</v>
      </c>
      <c r="AS2" t="s">
        <v>157</v>
      </c>
      <c r="AV2"/>
    </row>
    <row r="3" spans="1:144" s="22" customFormat="1" x14ac:dyDescent="0.15">
      <c r="B3" s="50"/>
      <c r="C3" s="52" t="s">
        <v>9</v>
      </c>
      <c r="D3" s="52" t="s">
        <v>10</v>
      </c>
      <c r="E3" s="53" t="s">
        <v>91</v>
      </c>
      <c r="F3" s="53" t="s">
        <v>92</v>
      </c>
      <c r="G3" s="53" t="s">
        <v>11</v>
      </c>
      <c r="H3" s="54" t="s">
        <v>122</v>
      </c>
      <c r="I3" s="54" t="s">
        <v>124</v>
      </c>
      <c r="J3" s="77" t="s">
        <v>12</v>
      </c>
      <c r="K3" s="78" t="s">
        <v>13</v>
      </c>
      <c r="L3" s="77" t="s">
        <v>14</v>
      </c>
      <c r="M3" s="53" t="s">
        <v>55</v>
      </c>
      <c r="N3" s="53" t="s">
        <v>56</v>
      </c>
      <c r="O3" s="53" t="s">
        <v>57</v>
      </c>
      <c r="P3" s="50"/>
      <c r="Q3" s="77" t="s">
        <v>22</v>
      </c>
      <c r="R3" s="78" t="s">
        <v>21</v>
      </c>
      <c r="S3" s="77" t="s">
        <v>22</v>
      </c>
      <c r="T3" s="78" t="s">
        <v>21</v>
      </c>
      <c r="U3" s="77" t="s">
        <v>22</v>
      </c>
      <c r="V3" s="78" t="s">
        <v>21</v>
      </c>
      <c r="W3" s="50"/>
      <c r="X3" s="28" t="s">
        <v>107</v>
      </c>
      <c r="Y3" s="28" t="s">
        <v>87</v>
      </c>
      <c r="Z3" s="28" t="s">
        <v>147</v>
      </c>
      <c r="AA3" s="50"/>
      <c r="AB3" s="22" t="s">
        <v>107</v>
      </c>
      <c r="AC3" s="22" t="s">
        <v>87</v>
      </c>
      <c r="AD3" s="22" t="s">
        <v>147</v>
      </c>
      <c r="AE3" s="89"/>
      <c r="AF3" s="22" t="s">
        <v>59</v>
      </c>
      <c r="AG3" s="22" t="s">
        <v>107</v>
      </c>
      <c r="AH3" s="22" t="s">
        <v>87</v>
      </c>
      <c r="AI3" s="22" t="s">
        <v>147</v>
      </c>
      <c r="AJ3" s="50"/>
      <c r="AK3" s="144">
        <f>MAX(X4:Y4)</f>
        <v>31703.348477561223</v>
      </c>
      <c r="AL3" s="50"/>
      <c r="AM3" s="22" t="s">
        <v>151</v>
      </c>
      <c r="AN3" s="22" t="s">
        <v>155</v>
      </c>
      <c r="AO3" s="50"/>
      <c r="AP3" s="22" t="s">
        <v>59</v>
      </c>
      <c r="AQ3" s="22" t="s">
        <v>152</v>
      </c>
      <c r="AR3" s="50"/>
      <c r="AV3"/>
    </row>
    <row r="4" spans="1:144" x14ac:dyDescent="0.15">
      <c r="C4" s="78">
        <f>omrPTHR</f>
        <v>0.02</v>
      </c>
      <c r="D4" s="78">
        <f>omrRTHR</f>
        <v>0.02</v>
      </c>
      <c r="E4" s="78">
        <f>rrNP1</f>
        <v>0.26067678779517234</v>
      </c>
      <c r="F4" s="78">
        <f>rrNP2</f>
        <v>0</v>
      </c>
      <c r="G4" s="78">
        <f>rrr</f>
        <v>0.04</v>
      </c>
      <c r="H4" s="78">
        <f>lambda</f>
        <v>4.5597754184620288E-4</v>
      </c>
      <c r="I4" s="78">
        <f>gamma</f>
        <v>1.4536778596632325</v>
      </c>
      <c r="J4" s="78">
        <f>cPrimary</f>
        <v>0</v>
      </c>
      <c r="K4" s="78">
        <f>cRevision</f>
        <v>5294</v>
      </c>
      <c r="L4" s="78">
        <f>cSuccess</f>
        <v>0</v>
      </c>
      <c r="M4" s="78">
        <f>uSuccessP</f>
        <v>0.85</v>
      </c>
      <c r="N4" s="78">
        <f>uSuccessR</f>
        <v>0.75</v>
      </c>
      <c r="O4" s="78">
        <f>uRevision</f>
        <v>0.3</v>
      </c>
      <c r="Q4" s="78">
        <f>STDqalys</f>
        <v>14.653189614825321</v>
      </c>
      <c r="R4" s="78">
        <f>STDcost</f>
        <v>512.43465834364304</v>
      </c>
      <c r="S4" s="78">
        <f>NP1qalys</f>
        <v>14.697709857306155</v>
      </c>
      <c r="T4" s="78">
        <f>NP1cost</f>
        <v>610.31181775758273</v>
      </c>
      <c r="U4" s="78">
        <f>S4-Q4</f>
        <v>4.4520242480833971E-2</v>
      </c>
      <c r="V4" s="78">
        <f>T4-R4</f>
        <v>97.877159413939694</v>
      </c>
      <c r="X4" s="133">
        <f>AVERAGE(X6:X1005)</f>
        <v>31692.398597731903</v>
      </c>
      <c r="Y4" s="133">
        <f>AVERAGE(Y6:Y1005)</f>
        <v>31703.348477561223</v>
      </c>
      <c r="Z4" s="133">
        <f>AVERAGE(Z6:Z1005)</f>
        <v>10.949879829344194</v>
      </c>
      <c r="AB4" s="78">
        <f>AVERAGE(AB6:AB1005)</f>
        <v>0.5</v>
      </c>
      <c r="AC4" s="78">
        <f>AVERAGE(AC6:AC1005)</f>
        <v>0.5</v>
      </c>
      <c r="AD4" s="78">
        <f>AVERAGE(AD6:AD1005)</f>
        <v>0.5</v>
      </c>
      <c r="AG4" s="22"/>
      <c r="AI4">
        <f>AVERAGE(AI5:AI6)</f>
        <v>0.04</v>
      </c>
      <c r="AK4" s="28">
        <f>AVERAGE(AK6:AK1005)</f>
        <v>31722.432521375431</v>
      </c>
      <c r="AM4" s="28">
        <v>40000</v>
      </c>
      <c r="AN4" s="28">
        <f>SUM(AN6:AN15)</f>
        <v>312067.69097998302</v>
      </c>
      <c r="AS4" s="133"/>
      <c r="AT4" s="133"/>
      <c r="AU4" s="133"/>
      <c r="AW4" t="s">
        <v>162</v>
      </c>
      <c r="CS4" s="22"/>
      <c r="CT4" s="22"/>
      <c r="CU4" s="22"/>
      <c r="CV4" s="22"/>
      <c r="CW4" s="22"/>
      <c r="CX4" s="22"/>
      <c r="CY4" s="22"/>
      <c r="CZ4" s="22"/>
      <c r="DA4" s="22"/>
      <c r="DB4" s="22"/>
      <c r="DC4" s="22"/>
      <c r="DD4" s="22"/>
      <c r="DE4" s="22"/>
      <c r="DF4" s="22"/>
      <c r="DG4" s="22"/>
      <c r="DH4" s="22"/>
      <c r="DI4" s="22"/>
      <c r="DJ4" s="22"/>
      <c r="DK4" s="22"/>
      <c r="DL4" s="22"/>
      <c r="DM4" s="22"/>
      <c r="DN4" s="22"/>
      <c r="DO4" s="22"/>
      <c r="DP4" s="22"/>
      <c r="DQ4" s="22"/>
      <c r="DR4" s="22"/>
      <c r="DS4" s="22"/>
      <c r="DT4" s="22"/>
      <c r="DU4" s="22"/>
      <c r="DV4" s="22"/>
      <c r="DW4" s="22"/>
      <c r="DX4" s="22"/>
      <c r="DY4" s="22"/>
      <c r="DZ4" s="22"/>
      <c r="EA4" s="22"/>
      <c r="EB4" s="22"/>
      <c r="EC4" s="22"/>
      <c r="ED4" s="22"/>
      <c r="EE4" s="22"/>
      <c r="EF4" s="22"/>
      <c r="EG4" s="22"/>
      <c r="EH4" s="22"/>
      <c r="EI4" s="22"/>
      <c r="EJ4" s="22"/>
      <c r="EK4" s="22"/>
      <c r="EL4" s="22"/>
      <c r="EM4" s="22"/>
      <c r="EN4" s="22"/>
    </row>
    <row r="5" spans="1:144" x14ac:dyDescent="0.15">
      <c r="A5" t="s">
        <v>41</v>
      </c>
      <c r="X5"/>
      <c r="Y5"/>
      <c r="Z5"/>
      <c r="AM5" t="s">
        <v>153</v>
      </c>
      <c r="AN5" t="s">
        <v>154</v>
      </c>
      <c r="AS5" t="s">
        <v>165</v>
      </c>
      <c r="AT5" t="s">
        <v>164</v>
      </c>
      <c r="AU5" t="s">
        <v>167</v>
      </c>
    </row>
    <row r="6" spans="1:144" x14ac:dyDescent="0.15">
      <c r="A6">
        <v>1</v>
      </c>
      <c r="C6" s="11">
        <v>4.6930551528930664E-2</v>
      </c>
      <c r="D6" s="11">
        <v>2.4154901504516602E-2</v>
      </c>
      <c r="E6" s="11">
        <v>0.34988557940864484</v>
      </c>
      <c r="F6" s="11">
        <v>0</v>
      </c>
      <c r="G6" s="11">
        <v>7.484734058380127E-2</v>
      </c>
      <c r="H6" s="40">
        <v>5.3518998423650419E-4</v>
      </c>
      <c r="I6" s="40">
        <v>1.4917022790829946</v>
      </c>
      <c r="J6" s="59">
        <v>0</v>
      </c>
      <c r="K6" s="59">
        <v>5507.7485740184784</v>
      </c>
      <c r="L6" s="59">
        <v>0</v>
      </c>
      <c r="M6" s="11">
        <v>0.86282843351364136</v>
      </c>
      <c r="N6" s="11">
        <v>0.70058083534240723</v>
      </c>
      <c r="O6" s="11">
        <v>0.28760126233100891</v>
      </c>
      <c r="Q6" s="59">
        <v>14.415909171947144</v>
      </c>
      <c r="R6" s="78">
        <v>576.43433930342178</v>
      </c>
      <c r="S6" s="78">
        <v>14.486356886107236</v>
      </c>
      <c r="T6" s="78">
        <v>643.86752838497614</v>
      </c>
      <c r="U6" s="78">
        <v>7.0447714160092545E-2</v>
      </c>
      <c r="V6" s="78">
        <v>67.43318908155436</v>
      </c>
      <c r="X6" s="28">
        <f>Q6*cRatio-R6</f>
        <v>31138.565838980296</v>
      </c>
      <c r="Y6" s="28">
        <f>S6*cRatio-T6</f>
        <v>31226.117621050944</v>
      </c>
      <c r="Z6" s="28">
        <f>U6*cRatio-V6</f>
        <v>87.551782070649239</v>
      </c>
      <c r="AB6">
        <f>IF(MAX(X6:Y6)=X6,1,0)</f>
        <v>0</v>
      </c>
      <c r="AC6">
        <f>IF(MAX(X6:Y6)=Y6,1,0)</f>
        <v>1</v>
      </c>
      <c r="AD6">
        <f>IF(Z6&gt;0,1,0)</f>
        <v>1</v>
      </c>
      <c r="AF6">
        <v>0</v>
      </c>
      <c r="AG6">
        <v>0.96</v>
      </c>
      <c r="AH6">
        <v>0.04</v>
      </c>
      <c r="AI6">
        <v>0.04</v>
      </c>
      <c r="AK6" s="28">
        <f>MAX(X6:Y6)</f>
        <v>31226.117621050944</v>
      </c>
      <c r="AM6">
        <v>1</v>
      </c>
      <c r="AN6" s="28">
        <f>$AM$4/(1.06)^(AM6-1)</f>
        <v>40000</v>
      </c>
      <c r="AP6">
        <v>0</v>
      </c>
      <c r="AQ6" s="28">
        <v>276223.85061943566</v>
      </c>
      <c r="AS6" s="133"/>
      <c r="AT6" s="133"/>
      <c r="AU6" s="133"/>
    </row>
    <row r="7" spans="1:144" x14ac:dyDescent="0.15">
      <c r="A7">
        <v>2</v>
      </c>
      <c r="C7" s="11">
        <v>2.0204067230224609E-2</v>
      </c>
      <c r="D7" s="11">
        <v>6.5317749977111816E-3</v>
      </c>
      <c r="E7" s="11">
        <v>0.27627187370370421</v>
      </c>
      <c r="F7" s="11">
        <v>0</v>
      </c>
      <c r="G7" s="11">
        <v>2.8157413005828857E-2</v>
      </c>
      <c r="H7" s="40">
        <v>5.0745882410358053E-4</v>
      </c>
      <c r="I7" s="40">
        <v>1.4279504914724945</v>
      </c>
      <c r="J7" s="59">
        <v>0</v>
      </c>
      <c r="K7" s="59">
        <v>6187.1833167970181</v>
      </c>
      <c r="L7" s="59">
        <v>0</v>
      </c>
      <c r="M7" s="11">
        <v>0.85191011428833008</v>
      </c>
      <c r="N7" s="11">
        <v>0.77463597059249878</v>
      </c>
      <c r="O7" s="11">
        <v>0.2994944155216217</v>
      </c>
      <c r="Q7" s="59">
        <v>14.694307900208665</v>
      </c>
      <c r="R7" s="78">
        <v>528.41795057865841</v>
      </c>
      <c r="S7" s="78">
        <v>14.729863142288632</v>
      </c>
      <c r="T7" s="78">
        <v>616.6672242364757</v>
      </c>
      <c r="U7" s="78">
        <v>3.5555242079967186E-2</v>
      </c>
      <c r="V7" s="78">
        <v>88.249273657817298</v>
      </c>
      <c r="X7" s="28">
        <f>Q7*cRatio-R7</f>
        <v>31799.059429880403</v>
      </c>
      <c r="Y7" s="28">
        <f>S7*cRatio-T7</f>
        <v>31789.031688798514</v>
      </c>
      <c r="Z7" s="28">
        <f t="shared" ref="Z7:Z70" si="0">U7*cRatio-V7</f>
        <v>-10.027741081889488</v>
      </c>
      <c r="AB7">
        <f>IF(MAX(X7:Y7)=X7,1,0)</f>
        <v>1</v>
      </c>
      <c r="AC7">
        <f>IF(MAX(X7:Y7)=Y7,1,0)</f>
        <v>0</v>
      </c>
      <c r="AD7">
        <f t="shared" ref="AD7:AD70" si="1">IF(Z7&gt;0,1,0)</f>
        <v>0</v>
      </c>
      <c r="AF7">
        <v>100</v>
      </c>
      <c r="AG7">
        <v>0.95</v>
      </c>
      <c r="AH7">
        <v>0.05</v>
      </c>
      <c r="AI7">
        <v>0.05</v>
      </c>
      <c r="AK7" s="28">
        <f t="shared" ref="AK7:AK70" si="2">MAX(X7:Y7)</f>
        <v>31799.059429880403</v>
      </c>
      <c r="AM7">
        <v>2</v>
      </c>
      <c r="AN7" s="28">
        <f t="shared" ref="AN7:AN15" si="3">$AM$4/(1.06)^(AM7-1)</f>
        <v>37735.849056603773</v>
      </c>
      <c r="AP7">
        <v>100</v>
      </c>
      <c r="AQ7" s="28">
        <v>325064.99487453641</v>
      </c>
      <c r="AS7" s="133"/>
      <c r="AT7" s="133"/>
      <c r="AU7" s="133"/>
      <c r="AW7" t="s">
        <v>166</v>
      </c>
      <c r="AX7" s="133"/>
    </row>
    <row r="8" spans="1:144" x14ac:dyDescent="0.15">
      <c r="A8">
        <v>3</v>
      </c>
      <c r="C8" s="11">
        <v>1.2910544872283936E-2</v>
      </c>
      <c r="D8" s="11">
        <v>3.1005114316940308E-2</v>
      </c>
      <c r="E8" s="11">
        <v>0.18834620095424445</v>
      </c>
      <c r="F8" s="11">
        <v>0</v>
      </c>
      <c r="G8" s="11">
        <v>2.5317192077636719E-2</v>
      </c>
      <c r="H8" s="40">
        <v>6.4336299505730096E-4</v>
      </c>
      <c r="I8" s="40">
        <v>1.3780087311886771</v>
      </c>
      <c r="J8" s="59">
        <v>0</v>
      </c>
      <c r="K8" s="59">
        <v>8885.1898908615112</v>
      </c>
      <c r="L8" s="59">
        <v>0</v>
      </c>
      <c r="M8" s="11">
        <v>0.86397150158882141</v>
      </c>
      <c r="N8" s="11">
        <v>0.77026695013046265</v>
      </c>
      <c r="O8" s="11">
        <v>0.27883630990982056</v>
      </c>
      <c r="Q8" s="59">
        <v>14.994947694978304</v>
      </c>
      <c r="R8" s="78">
        <v>602.27348397725063</v>
      </c>
      <c r="S8" s="78">
        <v>15.050578158132334</v>
      </c>
      <c r="T8" s="78">
        <v>618.90157517585783</v>
      </c>
      <c r="U8" s="78">
        <v>5.5630463154029641E-2</v>
      </c>
      <c r="V8" s="78">
        <v>16.628091198607194</v>
      </c>
      <c r="X8" s="28">
        <f>Q8*cRatio-R8</f>
        <v>32386.61144497502</v>
      </c>
      <c r="Y8" s="28">
        <f>S8*cRatio-T8</f>
        <v>32492.370372715275</v>
      </c>
      <c r="Z8" s="28">
        <f t="shared" si="0"/>
        <v>105.75892774025802</v>
      </c>
      <c r="AB8">
        <f>IF(MAX(X8:Y8)=X8,1,0)</f>
        <v>0</v>
      </c>
      <c r="AC8">
        <f>IF(MAX(X8:Y8)=Y8,1,0)</f>
        <v>1</v>
      </c>
      <c r="AD8">
        <f t="shared" si="1"/>
        <v>1</v>
      </c>
      <c r="AF8">
        <v>200</v>
      </c>
      <c r="AG8">
        <v>0.95</v>
      </c>
      <c r="AH8">
        <v>0.05</v>
      </c>
      <c r="AI8">
        <v>0.05</v>
      </c>
      <c r="AK8" s="28">
        <f t="shared" si="2"/>
        <v>32492.370372715275</v>
      </c>
      <c r="AM8">
        <v>3</v>
      </c>
      <c r="AN8" s="28">
        <f t="shared" si="3"/>
        <v>35599.857600569594</v>
      </c>
      <c r="AP8">
        <v>200</v>
      </c>
      <c r="AQ8" s="28">
        <v>386228.13013820193</v>
      </c>
      <c r="AS8" s="133"/>
      <c r="AT8" s="133"/>
      <c r="AU8" s="133"/>
    </row>
    <row r="9" spans="1:144" x14ac:dyDescent="0.15">
      <c r="A9">
        <v>4</v>
      </c>
      <c r="C9" s="11">
        <v>1.2877151370048523E-2</v>
      </c>
      <c r="D9" s="11">
        <v>2.0729511976242065E-2</v>
      </c>
      <c r="E9" s="11">
        <v>0.22651204571283329</v>
      </c>
      <c r="F9" s="11">
        <v>0</v>
      </c>
      <c r="G9" s="11">
        <v>6.3006758689880371E-2</v>
      </c>
      <c r="H9" s="40">
        <v>3.293482799144951E-4</v>
      </c>
      <c r="I9" s="40">
        <v>1.4816612455710878</v>
      </c>
      <c r="J9" s="59">
        <v>0</v>
      </c>
      <c r="K9" s="59">
        <v>9457.8415155410767</v>
      </c>
      <c r="L9" s="59">
        <v>0</v>
      </c>
      <c r="M9" s="11">
        <v>0.88604563474655151</v>
      </c>
      <c r="N9" s="11">
        <v>0.76415681838989258</v>
      </c>
      <c r="O9" s="11">
        <v>0.30660128593444824</v>
      </c>
      <c r="Q9" s="59">
        <v>15.391636433818473</v>
      </c>
      <c r="R9" s="78">
        <v>580.73961018542821</v>
      </c>
      <c r="S9" s="78">
        <v>15.435982547960815</v>
      </c>
      <c r="T9" s="78">
        <v>621.7906075731172</v>
      </c>
      <c r="U9" s="78">
        <v>4.4346114142342685E-2</v>
      </c>
      <c r="V9" s="78">
        <v>41.050997387688994</v>
      </c>
      <c r="X9" s="28">
        <f>Q9*cRatio-R9</f>
        <v>33280.860544215218</v>
      </c>
      <c r="Y9" s="28">
        <f>S9*cRatio-T9</f>
        <v>33337.370997940678</v>
      </c>
      <c r="Z9" s="28">
        <f t="shared" si="0"/>
        <v>56.510453725464913</v>
      </c>
      <c r="AB9">
        <f>IF(MAX(X9:Y9)=X9,1,0)</f>
        <v>0</v>
      </c>
      <c r="AC9">
        <f>IF(MAX(X9:Y9)=Y9,1,0)</f>
        <v>1</v>
      </c>
      <c r="AD9">
        <f t="shared" si="1"/>
        <v>1</v>
      </c>
      <c r="AF9">
        <v>300</v>
      </c>
      <c r="AG9">
        <v>0.95</v>
      </c>
      <c r="AH9">
        <v>0.05</v>
      </c>
      <c r="AI9">
        <v>0.05</v>
      </c>
      <c r="AK9" s="28">
        <f t="shared" si="2"/>
        <v>33337.370997940678</v>
      </c>
      <c r="AM9">
        <v>4</v>
      </c>
      <c r="AN9" s="28">
        <f t="shared" si="3"/>
        <v>33584.771321292064</v>
      </c>
      <c r="AP9">
        <v>300</v>
      </c>
      <c r="AQ9" s="28">
        <v>454468.78633022908</v>
      </c>
      <c r="AS9" s="133"/>
      <c r="AT9" s="133"/>
      <c r="AU9" s="133"/>
      <c r="AW9" t="s">
        <v>158</v>
      </c>
    </row>
    <row r="10" spans="1:144" x14ac:dyDescent="0.15">
      <c r="A10">
        <v>5</v>
      </c>
      <c r="C10" s="11">
        <v>7.2072982788085938E-2</v>
      </c>
      <c r="D10" s="11">
        <v>6.1664104461669922E-2</v>
      </c>
      <c r="E10" s="11">
        <v>0.40649527752283748</v>
      </c>
      <c r="F10" s="11">
        <v>0</v>
      </c>
      <c r="G10" s="11">
        <v>3.4027993679046631E-2</v>
      </c>
      <c r="H10" s="40">
        <v>4.5198674654365223E-4</v>
      </c>
      <c r="I10" s="40">
        <v>1.3783917635726968</v>
      </c>
      <c r="J10" s="59">
        <v>0</v>
      </c>
      <c r="K10" s="59">
        <v>3456.33365213871</v>
      </c>
      <c r="L10" s="59">
        <v>0</v>
      </c>
      <c r="M10" s="11">
        <v>0.88559401035308838</v>
      </c>
      <c r="N10" s="11">
        <v>0.72204828262329102</v>
      </c>
      <c r="O10" s="11">
        <v>0.28648298978805542</v>
      </c>
      <c r="Q10" s="59">
        <v>14.445841779613842</v>
      </c>
      <c r="R10" s="78">
        <v>450.1168456982432</v>
      </c>
      <c r="S10" s="78">
        <v>14.486812501423005</v>
      </c>
      <c r="T10" s="78">
        <v>602.0108241758503</v>
      </c>
      <c r="U10" s="78">
        <v>4.097072180916328E-2</v>
      </c>
      <c r="V10" s="78">
        <v>151.89397847760711</v>
      </c>
      <c r="X10" s="28">
        <f t="shared" ref="X10:X73" si="4">Q10*cRatio-R10</f>
        <v>31330.73506945221</v>
      </c>
      <c r="Y10" s="28">
        <f t="shared" ref="Y10:Y73" si="5">S10*cRatio-T10</f>
        <v>31268.976678954761</v>
      </c>
      <c r="Z10" s="28">
        <f t="shared" si="0"/>
        <v>-61.758390497447891</v>
      </c>
      <c r="AB10">
        <f t="shared" ref="AB10:AB73" si="6">IF(MAX(X10:Y10)=X10,1,0)</f>
        <v>1</v>
      </c>
      <c r="AC10">
        <f t="shared" ref="AC10:AC73" si="7">IF(MAX(X10:Y10)=Y10,1,0)</f>
        <v>0</v>
      </c>
      <c r="AD10">
        <f t="shared" si="1"/>
        <v>0</v>
      </c>
      <c r="AF10">
        <v>400</v>
      </c>
      <c r="AG10">
        <v>0.94</v>
      </c>
      <c r="AH10">
        <v>0.06</v>
      </c>
      <c r="AI10">
        <v>0.06</v>
      </c>
      <c r="AK10" s="28">
        <f t="shared" si="2"/>
        <v>31330.73506945221</v>
      </c>
      <c r="AM10">
        <v>5</v>
      </c>
      <c r="AN10" s="28">
        <f t="shared" si="3"/>
        <v>31683.746529520817</v>
      </c>
      <c r="AP10">
        <v>400</v>
      </c>
      <c r="AQ10" s="28">
        <v>545156.10069298232</v>
      </c>
      <c r="AS10" s="133"/>
      <c r="AT10" s="133"/>
      <c r="AU10" s="133"/>
    </row>
    <row r="11" spans="1:144" x14ac:dyDescent="0.15">
      <c r="A11">
        <v>6</v>
      </c>
      <c r="C11" s="11">
        <v>1.2629389762878418E-2</v>
      </c>
      <c r="D11" s="11">
        <v>1.6945838928222656E-2</v>
      </c>
      <c r="E11" s="11">
        <v>0.16157096419148423</v>
      </c>
      <c r="F11" s="11">
        <v>0</v>
      </c>
      <c r="G11" s="11">
        <v>6.5237045288085938E-2</v>
      </c>
      <c r="H11" s="40">
        <v>3.3354496681997024E-4</v>
      </c>
      <c r="I11" s="40">
        <v>1.5256492903519083</v>
      </c>
      <c r="J11" s="59">
        <v>0</v>
      </c>
      <c r="K11" s="59">
        <v>4903.8510769605637</v>
      </c>
      <c r="L11" s="59">
        <v>0</v>
      </c>
      <c r="M11" s="11">
        <v>0.83582949638366699</v>
      </c>
      <c r="N11" s="11">
        <v>0.70517194271087646</v>
      </c>
      <c r="O11" s="11">
        <v>0.33948266506195068</v>
      </c>
      <c r="Q11" s="59">
        <v>14.513740061510441</v>
      </c>
      <c r="R11" s="78">
        <v>506.48629796875821</v>
      </c>
      <c r="S11" s="78">
        <v>14.566837199639</v>
      </c>
      <c r="T11" s="78">
        <v>597.44481934833345</v>
      </c>
      <c r="U11" s="78">
        <v>5.3097138128558541E-2</v>
      </c>
      <c r="V11" s="78">
        <v>90.958521379575245</v>
      </c>
      <c r="X11" s="28">
        <f t="shared" si="4"/>
        <v>31423.741837354213</v>
      </c>
      <c r="Y11" s="28">
        <f t="shared" si="5"/>
        <v>31449.597019857469</v>
      </c>
      <c r="Z11" s="28">
        <f t="shared" si="0"/>
        <v>25.855182503253545</v>
      </c>
      <c r="AB11">
        <f t="shared" si="6"/>
        <v>0</v>
      </c>
      <c r="AC11">
        <f t="shared" si="7"/>
        <v>1</v>
      </c>
      <c r="AD11">
        <f t="shared" si="1"/>
        <v>1</v>
      </c>
      <c r="AF11">
        <v>500</v>
      </c>
      <c r="AG11">
        <v>0.92</v>
      </c>
      <c r="AH11">
        <v>0.08</v>
      </c>
      <c r="AI11">
        <v>0.08</v>
      </c>
      <c r="AK11" s="28">
        <f t="shared" si="2"/>
        <v>31449.597019857469</v>
      </c>
      <c r="AM11">
        <v>6</v>
      </c>
      <c r="AN11" s="28">
        <f t="shared" si="3"/>
        <v>29890.326914642275</v>
      </c>
      <c r="AP11">
        <v>500</v>
      </c>
      <c r="AQ11" s="28">
        <v>663557.65300046967</v>
      </c>
      <c r="AS11" s="133"/>
      <c r="AT11" s="133"/>
      <c r="AU11" s="133"/>
      <c r="AW11" t="s">
        <v>91</v>
      </c>
      <c r="AX11" s="133"/>
    </row>
    <row r="12" spans="1:144" x14ac:dyDescent="0.15">
      <c r="A12">
        <v>7</v>
      </c>
      <c r="C12" s="11">
        <v>2.0294889807701111E-2</v>
      </c>
      <c r="D12" s="11">
        <v>2.8281539678573608E-2</v>
      </c>
      <c r="E12" s="11">
        <v>0.18637092086672727</v>
      </c>
      <c r="F12" s="11">
        <v>0</v>
      </c>
      <c r="G12" s="11">
        <v>7.8268051147460938E-2</v>
      </c>
      <c r="H12" s="40">
        <v>3.5715833804147312E-4</v>
      </c>
      <c r="I12" s="40">
        <v>1.469883273531374</v>
      </c>
      <c r="J12" s="59">
        <v>0</v>
      </c>
      <c r="K12" s="59">
        <v>4266.3700878620148</v>
      </c>
      <c r="L12" s="59">
        <v>0</v>
      </c>
      <c r="M12" s="11">
        <v>0.82692915201187134</v>
      </c>
      <c r="N12" s="11">
        <v>0.77097362279891968</v>
      </c>
      <c r="O12" s="11">
        <v>0.306100994348526</v>
      </c>
      <c r="Q12" s="59">
        <v>14.26457818419895</v>
      </c>
      <c r="R12" s="78">
        <v>486.89303643323666</v>
      </c>
      <c r="S12" s="78">
        <v>14.301479236649845</v>
      </c>
      <c r="T12" s="78">
        <v>596.53084245712068</v>
      </c>
      <c r="U12" s="78">
        <v>3.6901052450895477E-2</v>
      </c>
      <c r="V12" s="78">
        <v>109.63780602388402</v>
      </c>
      <c r="X12" s="28">
        <f t="shared" si="4"/>
        <v>30895.178968804452</v>
      </c>
      <c r="Y12" s="28">
        <f t="shared" si="5"/>
        <v>30866.723478172538</v>
      </c>
      <c r="Z12" s="28">
        <f t="shared" si="0"/>
        <v>-28.455490631913975</v>
      </c>
      <c r="AB12">
        <f t="shared" si="6"/>
        <v>1</v>
      </c>
      <c r="AC12">
        <f t="shared" si="7"/>
        <v>0</v>
      </c>
      <c r="AD12">
        <f t="shared" si="1"/>
        <v>0</v>
      </c>
      <c r="AF12">
        <v>600</v>
      </c>
      <c r="AG12">
        <v>0.9</v>
      </c>
      <c r="AH12">
        <v>0.1</v>
      </c>
      <c r="AI12">
        <v>0.1</v>
      </c>
      <c r="AK12" s="28">
        <f t="shared" si="2"/>
        <v>30895.178968804452</v>
      </c>
      <c r="AM12">
        <v>7</v>
      </c>
      <c r="AN12" s="28">
        <f t="shared" si="3"/>
        <v>28198.42161758705</v>
      </c>
      <c r="AP12">
        <v>600</v>
      </c>
      <c r="AQ12" s="28">
        <v>833347.54446748213</v>
      </c>
      <c r="AS12" s="133"/>
      <c r="AT12" s="133"/>
      <c r="AU12" s="133"/>
      <c r="AW12" t="s">
        <v>159</v>
      </c>
      <c r="AX12" s="28"/>
      <c r="AY12" s="28"/>
    </row>
    <row r="13" spans="1:144" x14ac:dyDescent="0.15">
      <c r="A13">
        <v>8</v>
      </c>
      <c r="C13" s="11">
        <v>1.0779097676277161E-2</v>
      </c>
      <c r="D13" s="11">
        <v>2.8966516256332397E-2</v>
      </c>
      <c r="E13" s="11">
        <v>0.21299146741917296</v>
      </c>
      <c r="F13" s="11">
        <v>0</v>
      </c>
      <c r="G13" s="11">
        <v>4.3844372034072876E-2</v>
      </c>
      <c r="H13" s="40">
        <v>4.5230347720363255E-4</v>
      </c>
      <c r="I13" s="40">
        <v>1.4359646930287648</v>
      </c>
      <c r="J13" s="59">
        <v>0</v>
      </c>
      <c r="K13" s="59">
        <v>7421.5047061443329</v>
      </c>
      <c r="L13" s="59">
        <v>0</v>
      </c>
      <c r="M13" s="11">
        <v>0.83160668611526489</v>
      </c>
      <c r="N13" s="11">
        <v>0.77939867973327637</v>
      </c>
      <c r="O13" s="11">
        <v>0.35750746726989746</v>
      </c>
      <c r="Q13" s="59">
        <v>14.486581025667228</v>
      </c>
      <c r="R13" s="78">
        <v>554.67841894879234</v>
      </c>
      <c r="S13" s="78">
        <v>14.521236142865828</v>
      </c>
      <c r="T13" s="78">
        <v>613.7047575529067</v>
      </c>
      <c r="U13" s="78">
        <v>3.4655117198600038E-2</v>
      </c>
      <c r="V13" s="78">
        <v>59.026338604114358</v>
      </c>
      <c r="X13" s="28">
        <f t="shared" si="4"/>
        <v>31315.799837519109</v>
      </c>
      <c r="Y13" s="28">
        <f t="shared" si="5"/>
        <v>31333.014756751913</v>
      </c>
      <c r="Z13" s="28">
        <f t="shared" si="0"/>
        <v>17.214919232805727</v>
      </c>
      <c r="AB13">
        <f t="shared" si="6"/>
        <v>0</v>
      </c>
      <c r="AC13">
        <f t="shared" si="7"/>
        <v>1</v>
      </c>
      <c r="AD13">
        <f t="shared" si="1"/>
        <v>1</v>
      </c>
      <c r="AF13">
        <v>700</v>
      </c>
      <c r="AG13">
        <v>0.9</v>
      </c>
      <c r="AH13">
        <v>0.1</v>
      </c>
      <c r="AI13">
        <v>0.1</v>
      </c>
      <c r="AK13" s="28">
        <f t="shared" si="2"/>
        <v>31333.014756751913</v>
      </c>
      <c r="AM13">
        <v>8</v>
      </c>
      <c r="AN13" s="28">
        <f t="shared" si="3"/>
        <v>26602.284544893442</v>
      </c>
      <c r="AP13">
        <v>700</v>
      </c>
      <c r="AQ13" s="28">
        <v>1056763.0817250155</v>
      </c>
      <c r="AS13" s="133"/>
      <c r="AT13" s="133"/>
      <c r="AU13" s="133"/>
      <c r="AW13" t="s">
        <v>160</v>
      </c>
      <c r="AX13" s="28"/>
      <c r="AY13" s="28"/>
    </row>
    <row r="14" spans="1:144" x14ac:dyDescent="0.15">
      <c r="A14">
        <v>9</v>
      </c>
      <c r="C14" s="11">
        <v>8.4851235151290894E-3</v>
      </c>
      <c r="D14" s="11">
        <v>3.9951920509338379E-2</v>
      </c>
      <c r="E14" s="11">
        <v>0.2081086292700976</v>
      </c>
      <c r="F14" s="11">
        <v>0</v>
      </c>
      <c r="G14" s="11">
        <v>1.3209521770477295E-2</v>
      </c>
      <c r="H14" s="40">
        <v>2.8381868072473523E-4</v>
      </c>
      <c r="I14" s="40">
        <v>1.568446836252809</v>
      </c>
      <c r="J14" s="59">
        <v>0</v>
      </c>
      <c r="K14" s="59">
        <v>7674.9455183744431</v>
      </c>
      <c r="L14" s="59">
        <v>0</v>
      </c>
      <c r="M14" s="11">
        <v>0.8079293966293335</v>
      </c>
      <c r="N14" s="11">
        <v>0.6917564868927002</v>
      </c>
      <c r="O14" s="11">
        <v>0.30425345897674561</v>
      </c>
      <c r="Q14" s="59">
        <v>14.092662194914366</v>
      </c>
      <c r="R14" s="78">
        <v>524.62177695665741</v>
      </c>
      <c r="S14" s="78">
        <v>14.137738989195524</v>
      </c>
      <c r="T14" s="78">
        <v>606.58150480241784</v>
      </c>
      <c r="U14" s="78">
        <v>4.5076794281158072E-2</v>
      </c>
      <c r="V14" s="78">
        <v>81.959727845760426</v>
      </c>
      <c r="X14" s="28">
        <f t="shared" si="4"/>
        <v>30479.235051854947</v>
      </c>
      <c r="Y14" s="28">
        <f t="shared" si="5"/>
        <v>30496.444271427732</v>
      </c>
      <c r="Z14" s="28">
        <f t="shared" si="0"/>
        <v>17.209219572787333</v>
      </c>
      <c r="AB14">
        <f t="shared" si="6"/>
        <v>0</v>
      </c>
      <c r="AC14">
        <f t="shared" si="7"/>
        <v>1</v>
      </c>
      <c r="AD14">
        <f t="shared" si="1"/>
        <v>1</v>
      </c>
      <c r="AF14">
        <v>800</v>
      </c>
      <c r="AG14">
        <v>0.9</v>
      </c>
      <c r="AH14">
        <v>0.1</v>
      </c>
      <c r="AI14">
        <v>0.1</v>
      </c>
      <c r="AK14" s="28">
        <f t="shared" si="2"/>
        <v>30496.444271427732</v>
      </c>
      <c r="AM14">
        <v>9</v>
      </c>
      <c r="AN14" s="28">
        <f t="shared" si="3"/>
        <v>25096.494853673059</v>
      </c>
      <c r="AP14">
        <v>800</v>
      </c>
      <c r="AQ14" s="28">
        <v>1325430.3510034105</v>
      </c>
      <c r="AS14" s="133"/>
      <c r="AT14" s="133"/>
      <c r="AU14" s="133"/>
      <c r="AW14" t="s">
        <v>13</v>
      </c>
      <c r="AX14" s="28"/>
      <c r="AY14" s="28"/>
    </row>
    <row r="15" spans="1:144" x14ac:dyDescent="0.15">
      <c r="A15">
        <v>10</v>
      </c>
      <c r="C15" s="11">
        <v>5.8926790952682495E-3</v>
      </c>
      <c r="D15" s="11">
        <v>5.5765509605407715E-3</v>
      </c>
      <c r="E15" s="11">
        <v>0.28329515521815385</v>
      </c>
      <c r="F15" s="11">
        <v>0</v>
      </c>
      <c r="G15" s="11">
        <v>3.6940842866897583E-2</v>
      </c>
      <c r="H15" s="40">
        <v>4.9550987154800454E-4</v>
      </c>
      <c r="I15" s="40">
        <v>1.4030638734065735</v>
      </c>
      <c r="J15" s="59">
        <v>0</v>
      </c>
      <c r="K15" s="59">
        <v>5090.5253738164902</v>
      </c>
      <c r="L15" s="59">
        <v>0</v>
      </c>
      <c r="M15" s="11">
        <v>0.82848179340362549</v>
      </c>
      <c r="N15" s="11">
        <v>0.76677536964416504</v>
      </c>
      <c r="O15" s="11">
        <v>0.36842918395996094</v>
      </c>
      <c r="Q15" s="59">
        <v>14.509520483954383</v>
      </c>
      <c r="R15" s="78">
        <v>501.10980175633807</v>
      </c>
      <c r="S15" s="78">
        <v>14.536736539800971</v>
      </c>
      <c r="T15" s="78">
        <v>609.72510622415791</v>
      </c>
      <c r="U15" s="78">
        <v>2.7216055846588816E-2</v>
      </c>
      <c r="V15" s="78">
        <v>108.61530446781984</v>
      </c>
      <c r="X15" s="28">
        <f t="shared" si="4"/>
        <v>31419.835262943303</v>
      </c>
      <c r="Y15" s="28">
        <f t="shared" si="5"/>
        <v>31371.095281337977</v>
      </c>
      <c r="Z15" s="28">
        <f t="shared" si="0"/>
        <v>-48.739981605324445</v>
      </c>
      <c r="AB15">
        <f t="shared" si="6"/>
        <v>1</v>
      </c>
      <c r="AC15">
        <f t="shared" si="7"/>
        <v>0</v>
      </c>
      <c r="AD15">
        <f t="shared" si="1"/>
        <v>0</v>
      </c>
      <c r="AF15">
        <v>900</v>
      </c>
      <c r="AG15">
        <v>0.88</v>
      </c>
      <c r="AH15">
        <v>0.12</v>
      </c>
      <c r="AI15">
        <v>0.12</v>
      </c>
      <c r="AK15" s="28">
        <f t="shared" si="2"/>
        <v>31419.835262943303</v>
      </c>
      <c r="AM15">
        <v>10</v>
      </c>
      <c r="AN15" s="28">
        <f t="shared" si="3"/>
        <v>23675.938541201001</v>
      </c>
      <c r="AP15">
        <v>900</v>
      </c>
      <c r="AQ15" s="28">
        <v>1606833.7307691339</v>
      </c>
      <c r="AS15" s="133"/>
      <c r="AT15" s="133"/>
      <c r="AU15" s="133"/>
      <c r="AW15" t="s">
        <v>163</v>
      </c>
      <c r="AX15" s="28"/>
      <c r="AY15" s="28"/>
    </row>
    <row r="16" spans="1:144" x14ac:dyDescent="0.15">
      <c r="A16">
        <v>11</v>
      </c>
      <c r="C16" s="11">
        <v>1.24521404504776E-2</v>
      </c>
      <c r="D16" s="11">
        <v>3.0776888132095337E-2</v>
      </c>
      <c r="E16" s="11">
        <v>0.4305207154506735</v>
      </c>
      <c r="F16" s="11">
        <v>0</v>
      </c>
      <c r="G16" s="11">
        <v>3.5510718822479248E-2</v>
      </c>
      <c r="H16" s="40">
        <v>5.3982019646479701E-4</v>
      </c>
      <c r="I16" s="40">
        <v>1.418695865330271</v>
      </c>
      <c r="J16" s="59">
        <v>0</v>
      </c>
      <c r="K16" s="59">
        <v>5344.5459343492985</v>
      </c>
      <c r="L16" s="59">
        <v>0</v>
      </c>
      <c r="M16" s="11">
        <v>0.87872576713562012</v>
      </c>
      <c r="N16" s="11">
        <v>0.77353978157043457</v>
      </c>
      <c r="O16" s="11">
        <v>0.3096109926700592</v>
      </c>
      <c r="Q16" s="59">
        <v>15.257701652345757</v>
      </c>
      <c r="R16" s="78">
        <v>519.33262771448176</v>
      </c>
      <c r="S16" s="78">
        <v>15.297429166613197</v>
      </c>
      <c r="T16" s="78">
        <v>633.57787883304786</v>
      </c>
      <c r="U16" s="78">
        <v>3.9727514267440256E-2</v>
      </c>
      <c r="V16" s="78">
        <v>114.2452511185661</v>
      </c>
      <c r="X16" s="28">
        <f t="shared" si="4"/>
        <v>33047.611007446183</v>
      </c>
      <c r="Y16" s="28">
        <f t="shared" si="5"/>
        <v>33020.766287715982</v>
      </c>
      <c r="Z16" s="28">
        <f t="shared" si="0"/>
        <v>-26.844719730197539</v>
      </c>
      <c r="AB16">
        <f t="shared" si="6"/>
        <v>1</v>
      </c>
      <c r="AC16">
        <f t="shared" si="7"/>
        <v>0</v>
      </c>
      <c r="AD16">
        <f t="shared" si="1"/>
        <v>0</v>
      </c>
      <c r="AF16">
        <v>1000</v>
      </c>
      <c r="AG16">
        <v>0.84</v>
      </c>
      <c r="AH16">
        <v>0.16</v>
      </c>
      <c r="AI16">
        <v>0.16</v>
      </c>
      <c r="AK16" s="28">
        <f t="shared" si="2"/>
        <v>33047.611007446183</v>
      </c>
      <c r="AP16">
        <v>1000</v>
      </c>
      <c r="AQ16" s="28">
        <v>1954521.8493043266</v>
      </c>
      <c r="AS16" s="28"/>
      <c r="AT16" s="28"/>
      <c r="AU16" s="28"/>
      <c r="AW16" t="s">
        <v>161</v>
      </c>
      <c r="AX16" s="28"/>
      <c r="AY16" s="28"/>
    </row>
    <row r="17" spans="1:47" x14ac:dyDescent="0.15">
      <c r="A17">
        <v>12</v>
      </c>
      <c r="C17" s="11">
        <v>5.0183415412902832E-2</v>
      </c>
      <c r="D17" s="11">
        <v>1.9096329808235168E-2</v>
      </c>
      <c r="E17" s="11">
        <v>0.35652099288598471</v>
      </c>
      <c r="F17" s="11">
        <v>0</v>
      </c>
      <c r="G17" s="11">
        <v>4.2852938175201416E-2</v>
      </c>
      <c r="H17" s="40">
        <v>5.4010798563918242E-4</v>
      </c>
      <c r="I17" s="40">
        <v>1.4247590087525241</v>
      </c>
      <c r="J17" s="59">
        <v>0</v>
      </c>
      <c r="K17" s="59">
        <v>5630.0032883882523</v>
      </c>
      <c r="L17" s="59">
        <v>0</v>
      </c>
      <c r="M17" s="11">
        <v>0.83336794376373291</v>
      </c>
      <c r="N17" s="11">
        <v>0.71188443899154663</v>
      </c>
      <c r="O17" s="11">
        <v>0.25852298736572266</v>
      </c>
      <c r="Q17" s="59">
        <v>13.910151516196862</v>
      </c>
      <c r="R17" s="78">
        <v>528.62272265017737</v>
      </c>
      <c r="S17" s="78">
        <v>13.955705181039352</v>
      </c>
      <c r="T17" s="78">
        <v>627.62821480773482</v>
      </c>
      <c r="U17" s="78">
        <v>4.5553664842490349E-2</v>
      </c>
      <c r="V17" s="78">
        <v>99.005492157557455</v>
      </c>
      <c r="X17" s="28">
        <f t="shared" si="4"/>
        <v>30073.710612982919</v>
      </c>
      <c r="Y17" s="28">
        <f t="shared" si="5"/>
        <v>30074.923183478841</v>
      </c>
      <c r="Z17" s="28">
        <f t="shared" si="0"/>
        <v>1.2125704959213124</v>
      </c>
      <c r="AB17">
        <f t="shared" si="6"/>
        <v>0</v>
      </c>
      <c r="AC17">
        <f t="shared" si="7"/>
        <v>1</v>
      </c>
      <c r="AD17">
        <f t="shared" si="1"/>
        <v>1</v>
      </c>
      <c r="AF17">
        <v>1500</v>
      </c>
      <c r="AG17">
        <v>0.72</v>
      </c>
      <c r="AH17">
        <v>0.28000000000000003</v>
      </c>
      <c r="AI17">
        <v>0.28000000000000003</v>
      </c>
      <c r="AK17" s="28">
        <f t="shared" si="2"/>
        <v>30074.923183478841</v>
      </c>
      <c r="AP17">
        <v>1500</v>
      </c>
      <c r="AQ17" s="28">
        <v>4164242.2208420509</v>
      </c>
      <c r="AS17" s="28"/>
      <c r="AT17" s="28"/>
      <c r="AU17" s="28"/>
    </row>
    <row r="18" spans="1:47" x14ac:dyDescent="0.15">
      <c r="A18">
        <v>13</v>
      </c>
      <c r="C18" s="11">
        <v>1.5713348984718323E-2</v>
      </c>
      <c r="D18" s="11">
        <v>2.889251708984375E-2</v>
      </c>
      <c r="E18" s="11">
        <v>0.21520633223195679</v>
      </c>
      <c r="F18" s="11">
        <v>0</v>
      </c>
      <c r="G18" s="11">
        <v>2.086988091468811E-2</v>
      </c>
      <c r="H18" s="40">
        <v>5.242599172908879E-4</v>
      </c>
      <c r="I18" s="40">
        <v>1.459515375669787</v>
      </c>
      <c r="J18" s="59">
        <v>0</v>
      </c>
      <c r="K18" s="59">
        <v>4381.122998893261</v>
      </c>
      <c r="L18" s="59">
        <v>0</v>
      </c>
      <c r="M18" s="11">
        <v>0.84108656644821167</v>
      </c>
      <c r="N18" s="11">
        <v>0.77519619464874268</v>
      </c>
      <c r="O18" s="11">
        <v>0.26142728328704834</v>
      </c>
      <c r="Q18" s="59">
        <v>14.563476449019211</v>
      </c>
      <c r="R18" s="78">
        <v>497.26819903526859</v>
      </c>
      <c r="S18" s="78">
        <v>14.610036533281034</v>
      </c>
      <c r="T18" s="78">
        <v>601.62572366178949</v>
      </c>
      <c r="U18" s="78">
        <v>4.6560084261823675E-2</v>
      </c>
      <c r="V18" s="78">
        <v>104.3575246265209</v>
      </c>
      <c r="X18" s="28">
        <f t="shared" si="4"/>
        <v>31542.379988806995</v>
      </c>
      <c r="Y18" s="28">
        <f t="shared" si="5"/>
        <v>31540.454649556486</v>
      </c>
      <c r="Z18" s="28">
        <f t="shared" si="0"/>
        <v>-1.9253392505088129</v>
      </c>
      <c r="AB18">
        <f t="shared" si="6"/>
        <v>1</v>
      </c>
      <c r="AC18">
        <f t="shared" si="7"/>
        <v>0</v>
      </c>
      <c r="AD18">
        <f t="shared" si="1"/>
        <v>0</v>
      </c>
      <c r="AF18">
        <v>2000</v>
      </c>
      <c r="AG18">
        <v>0.63</v>
      </c>
      <c r="AH18">
        <v>0.37</v>
      </c>
      <c r="AI18">
        <v>0.37</v>
      </c>
      <c r="AK18" s="28">
        <f t="shared" si="2"/>
        <v>31542.379988806995</v>
      </c>
      <c r="AP18">
        <v>2000</v>
      </c>
      <c r="AQ18" s="28">
        <v>6726352.7722789152</v>
      </c>
      <c r="AS18" s="28"/>
      <c r="AT18" s="28"/>
      <c r="AU18" s="28"/>
    </row>
    <row r="19" spans="1:47" x14ac:dyDescent="0.15">
      <c r="A19">
        <v>14</v>
      </c>
      <c r="C19" s="11">
        <v>9.8908990621566772E-3</v>
      </c>
      <c r="D19" s="11">
        <v>1.2465283274650574E-2</v>
      </c>
      <c r="E19" s="11">
        <v>0.52348953303654533</v>
      </c>
      <c r="F19" s="11">
        <v>0</v>
      </c>
      <c r="G19" s="11">
        <v>0.12058258056640625</v>
      </c>
      <c r="H19" s="40">
        <v>4.9994585728006617E-4</v>
      </c>
      <c r="I19" s="40">
        <v>1.497039829741688</v>
      </c>
      <c r="J19" s="59">
        <v>0</v>
      </c>
      <c r="K19" s="59">
        <v>4194.7001591324806</v>
      </c>
      <c r="L19" s="59">
        <v>0</v>
      </c>
      <c r="M19" s="11">
        <v>0.86892539262771606</v>
      </c>
      <c r="N19" s="11">
        <v>0.76319903135299683</v>
      </c>
      <c r="O19" s="11">
        <v>0.32191181182861328</v>
      </c>
      <c r="Q19" s="59">
        <v>15.107863440223975</v>
      </c>
      <c r="R19" s="78">
        <v>556.45965443237651</v>
      </c>
      <c r="S19" s="78">
        <v>15.149493417712922</v>
      </c>
      <c r="T19" s="78">
        <v>664.9805273965319</v>
      </c>
      <c r="U19" s="78">
        <v>4.1629977488947034E-2</v>
      </c>
      <c r="V19" s="78">
        <v>108.52087296415539</v>
      </c>
      <c r="X19" s="28">
        <f t="shared" si="4"/>
        <v>32680.839914060369</v>
      </c>
      <c r="Y19" s="28">
        <f t="shared" si="5"/>
        <v>32663.904991571893</v>
      </c>
      <c r="Z19" s="28">
        <f t="shared" si="0"/>
        <v>-16.934922488471912</v>
      </c>
      <c r="AB19">
        <f t="shared" si="6"/>
        <v>1</v>
      </c>
      <c r="AC19">
        <f t="shared" si="7"/>
        <v>0</v>
      </c>
      <c r="AD19">
        <f t="shared" si="1"/>
        <v>0</v>
      </c>
      <c r="AF19">
        <v>2500</v>
      </c>
      <c r="AG19">
        <v>0.47</v>
      </c>
      <c r="AH19">
        <v>0.53</v>
      </c>
      <c r="AI19">
        <v>0.53</v>
      </c>
      <c r="AK19" s="28">
        <f t="shared" si="2"/>
        <v>32680.839914060369</v>
      </c>
      <c r="AP19">
        <v>2500</v>
      </c>
      <c r="AQ19" s="28">
        <v>3921894.1502942406</v>
      </c>
      <c r="AS19" s="28"/>
      <c r="AT19" s="28"/>
      <c r="AU19" s="28"/>
    </row>
    <row r="20" spans="1:47" x14ac:dyDescent="0.15">
      <c r="A20">
        <v>15</v>
      </c>
      <c r="C20" s="11">
        <v>1.2356847524642944E-2</v>
      </c>
      <c r="D20" s="11">
        <v>1.1537224054336548E-2</v>
      </c>
      <c r="E20" s="11">
        <v>0.40371504588556878</v>
      </c>
      <c r="F20" s="11">
        <v>0</v>
      </c>
      <c r="G20" s="11">
        <v>2.4673908948898315E-2</v>
      </c>
      <c r="H20" s="40">
        <v>3.9477391512704864E-4</v>
      </c>
      <c r="I20" s="40">
        <v>1.5212913000378914</v>
      </c>
      <c r="J20" s="59">
        <v>0</v>
      </c>
      <c r="K20" s="59">
        <v>6910.4181602597237</v>
      </c>
      <c r="L20" s="59">
        <v>0</v>
      </c>
      <c r="M20" s="11">
        <v>0.91577339172363281</v>
      </c>
      <c r="N20" s="11">
        <v>0.77198117971420288</v>
      </c>
      <c r="O20" s="11">
        <v>0.25709962844848633</v>
      </c>
      <c r="Q20" s="59">
        <v>15.897340473442151</v>
      </c>
      <c r="R20" s="78">
        <v>545.58324990044036</v>
      </c>
      <c r="S20" s="78">
        <v>15.943750456514703</v>
      </c>
      <c r="T20" s="78">
        <v>640.97578791032856</v>
      </c>
      <c r="U20" s="78">
        <v>4.6409983072551952E-2</v>
      </c>
      <c r="V20" s="78">
        <v>95.392538009888199</v>
      </c>
      <c r="X20" s="28">
        <f t="shared" si="4"/>
        <v>34428.565791672292</v>
      </c>
      <c r="Y20" s="28">
        <f t="shared" si="5"/>
        <v>34435.275216422022</v>
      </c>
      <c r="Z20" s="28">
        <f t="shared" si="0"/>
        <v>6.7094247497260966</v>
      </c>
      <c r="AB20">
        <f t="shared" si="6"/>
        <v>0</v>
      </c>
      <c r="AC20">
        <f t="shared" si="7"/>
        <v>1</v>
      </c>
      <c r="AD20">
        <f t="shared" si="1"/>
        <v>1</v>
      </c>
      <c r="AF20">
        <v>3000</v>
      </c>
      <c r="AG20">
        <v>0.25</v>
      </c>
      <c r="AH20">
        <v>0.75</v>
      </c>
      <c r="AI20">
        <v>0.75</v>
      </c>
      <c r="AK20" s="28">
        <f t="shared" si="2"/>
        <v>34435.275216422022</v>
      </c>
      <c r="AP20">
        <v>3000</v>
      </c>
      <c r="AQ20" s="28">
        <v>2295880.3853984959</v>
      </c>
      <c r="AS20" s="28"/>
      <c r="AT20" s="28"/>
      <c r="AU20" s="28"/>
    </row>
    <row r="21" spans="1:47" x14ac:dyDescent="0.15">
      <c r="A21">
        <v>16</v>
      </c>
      <c r="C21" s="11">
        <v>2.810204029083252E-2</v>
      </c>
      <c r="D21" s="11">
        <v>3.4364998340606689E-2</v>
      </c>
      <c r="E21" s="11">
        <v>0.16616455666818458</v>
      </c>
      <c r="F21" s="11">
        <v>0</v>
      </c>
      <c r="G21" s="11">
        <v>4.5959770679473877E-2</v>
      </c>
      <c r="H21" s="40">
        <v>6.5166471540083399E-4</v>
      </c>
      <c r="I21" s="40">
        <v>1.3269586129514916</v>
      </c>
      <c r="J21" s="59">
        <v>0</v>
      </c>
      <c r="K21" s="59">
        <v>3886.4091038703918</v>
      </c>
      <c r="L21" s="59">
        <v>0</v>
      </c>
      <c r="M21" s="11">
        <v>0.85596632957458496</v>
      </c>
      <c r="N21" s="11">
        <v>0.80852007865905762</v>
      </c>
      <c r="O21" s="11">
        <v>0.29955744743347168</v>
      </c>
      <c r="Q21" s="59">
        <v>14.644919888003047</v>
      </c>
      <c r="R21" s="78">
        <v>481.37077672770755</v>
      </c>
      <c r="S21" s="78">
        <v>14.686153300308982</v>
      </c>
      <c r="T21" s="78">
        <v>593.73112122986083</v>
      </c>
      <c r="U21" s="78">
        <v>4.1233412305935246E-2</v>
      </c>
      <c r="V21" s="78">
        <v>112.36034450215328</v>
      </c>
      <c r="X21" s="28">
        <f t="shared" si="4"/>
        <v>31737.452976878994</v>
      </c>
      <c r="Y21" s="28">
        <f t="shared" si="5"/>
        <v>31715.806139449902</v>
      </c>
      <c r="Z21" s="28">
        <f t="shared" si="0"/>
        <v>-21.64683742909574</v>
      </c>
      <c r="AB21">
        <f t="shared" si="6"/>
        <v>1</v>
      </c>
      <c r="AC21">
        <f t="shared" si="7"/>
        <v>0</v>
      </c>
      <c r="AD21">
        <f t="shared" si="1"/>
        <v>0</v>
      </c>
      <c r="AF21">
        <v>3500</v>
      </c>
      <c r="AG21">
        <v>0.23</v>
      </c>
      <c r="AH21">
        <v>0.77</v>
      </c>
      <c r="AI21">
        <v>0.77</v>
      </c>
      <c r="AK21" s="28">
        <f t="shared" si="2"/>
        <v>31737.452976878994</v>
      </c>
      <c r="AP21">
        <v>3500</v>
      </c>
      <c r="AQ21" s="28">
        <v>1384344.4930687356</v>
      </c>
      <c r="AS21" s="28"/>
      <c r="AT21" s="28"/>
      <c r="AU21" s="28"/>
    </row>
    <row r="22" spans="1:47" x14ac:dyDescent="0.15">
      <c r="A22">
        <v>17</v>
      </c>
      <c r="C22" s="11">
        <v>4.6868026256561279E-3</v>
      </c>
      <c r="D22" s="11">
        <v>2.2790014743804932E-2</v>
      </c>
      <c r="E22" s="11">
        <v>0.25771135214348978</v>
      </c>
      <c r="F22" s="11">
        <v>0</v>
      </c>
      <c r="G22" s="11">
        <v>4.6636968851089478E-2</v>
      </c>
      <c r="H22" s="40">
        <v>3.9302378882087667E-4</v>
      </c>
      <c r="I22" s="40">
        <v>1.567668287307513</v>
      </c>
      <c r="J22" s="59">
        <v>0</v>
      </c>
      <c r="K22" s="59">
        <v>4007.1620605885983</v>
      </c>
      <c r="L22" s="59">
        <v>0</v>
      </c>
      <c r="M22" s="11">
        <v>0.84945982694625854</v>
      </c>
      <c r="N22" s="11">
        <v>0.76818132400512695</v>
      </c>
      <c r="O22" s="11">
        <v>0.27903503179550171</v>
      </c>
      <c r="Q22" s="59">
        <v>14.862799839793277</v>
      </c>
      <c r="R22" s="78">
        <v>506.61311676363636</v>
      </c>
      <c r="S22" s="78">
        <v>14.915382755104686</v>
      </c>
      <c r="T22" s="78">
        <v>608.5502346751681</v>
      </c>
      <c r="U22" s="78">
        <v>5.2582915311408129E-2</v>
      </c>
      <c r="V22" s="78">
        <v>101.93711791153174</v>
      </c>
      <c r="X22" s="28">
        <f t="shared" si="4"/>
        <v>32191.546530781572</v>
      </c>
      <c r="Y22" s="28">
        <f t="shared" si="5"/>
        <v>32205.291826555142</v>
      </c>
      <c r="Z22" s="28">
        <f t="shared" si="0"/>
        <v>13.745295773566141</v>
      </c>
      <c r="AB22">
        <f t="shared" si="6"/>
        <v>0</v>
      </c>
      <c r="AC22">
        <f t="shared" si="7"/>
        <v>1</v>
      </c>
      <c r="AD22">
        <f t="shared" si="1"/>
        <v>1</v>
      </c>
      <c r="AF22">
        <v>4000</v>
      </c>
      <c r="AG22">
        <v>0.19</v>
      </c>
      <c r="AH22">
        <v>0.81</v>
      </c>
      <c r="AI22">
        <v>0.81</v>
      </c>
      <c r="AK22" s="28">
        <f t="shared" si="2"/>
        <v>32205.291826555142</v>
      </c>
      <c r="AP22">
        <v>4000</v>
      </c>
      <c r="AQ22" s="28">
        <v>961858.67599855713</v>
      </c>
      <c r="AS22" s="28"/>
      <c r="AT22" s="28"/>
      <c r="AU22" s="28"/>
    </row>
    <row r="23" spans="1:47" x14ac:dyDescent="0.15">
      <c r="A23">
        <v>18</v>
      </c>
      <c r="C23" s="11">
        <v>2.5358676910400391E-2</v>
      </c>
      <c r="D23" s="11">
        <v>2.1611914038658142E-2</v>
      </c>
      <c r="E23" s="11">
        <v>0.11781180942380601</v>
      </c>
      <c r="F23" s="11">
        <v>0</v>
      </c>
      <c r="G23" s="11">
        <v>3.4113913774490356E-2</v>
      </c>
      <c r="H23" s="40">
        <v>4.650340527021048E-4</v>
      </c>
      <c r="I23" s="40">
        <v>1.5310409129214184</v>
      </c>
      <c r="J23" s="59">
        <v>0</v>
      </c>
      <c r="K23" s="59">
        <v>6214.0938825905323</v>
      </c>
      <c r="L23" s="59">
        <v>0</v>
      </c>
      <c r="M23" s="11">
        <v>0.84249269962310791</v>
      </c>
      <c r="N23" s="11">
        <v>0.74732226133346558</v>
      </c>
      <c r="O23" s="11">
        <v>0.3037799596786499</v>
      </c>
      <c r="Q23" s="59">
        <v>14.42999065750176</v>
      </c>
      <c r="R23" s="78">
        <v>564.5543049020639</v>
      </c>
      <c r="S23" s="78">
        <v>14.495102375284848</v>
      </c>
      <c r="T23" s="78">
        <v>599.55273178989432</v>
      </c>
      <c r="U23" s="78">
        <v>6.5111717783087997E-2</v>
      </c>
      <c r="V23" s="78">
        <v>34.998426887830419</v>
      </c>
      <c r="X23" s="28">
        <f t="shared" si="4"/>
        <v>31181.425141601809</v>
      </c>
      <c r="Y23" s="28">
        <f t="shared" si="5"/>
        <v>31289.67249383677</v>
      </c>
      <c r="Z23" s="28">
        <f t="shared" si="0"/>
        <v>108.24735223496316</v>
      </c>
      <c r="AB23">
        <f t="shared" si="6"/>
        <v>0</v>
      </c>
      <c r="AC23">
        <f t="shared" si="7"/>
        <v>1</v>
      </c>
      <c r="AD23">
        <f t="shared" si="1"/>
        <v>1</v>
      </c>
      <c r="AF23">
        <v>4500</v>
      </c>
      <c r="AG23">
        <v>0.18</v>
      </c>
      <c r="AH23">
        <v>0.82</v>
      </c>
      <c r="AI23">
        <v>0.82</v>
      </c>
      <c r="AK23" s="28">
        <f t="shared" si="2"/>
        <v>31289.67249383677</v>
      </c>
      <c r="AP23">
        <v>4500</v>
      </c>
      <c r="AQ23" s="28">
        <v>676942.1179045618</v>
      </c>
      <c r="AS23" s="28"/>
      <c r="AT23" s="28"/>
      <c r="AU23" s="28"/>
    </row>
    <row r="24" spans="1:47" x14ac:dyDescent="0.15">
      <c r="A24">
        <v>19</v>
      </c>
      <c r="C24" s="11">
        <v>1.307949423789978E-2</v>
      </c>
      <c r="D24" s="11">
        <v>1.4749109745025635E-2</v>
      </c>
      <c r="E24" s="11">
        <v>0.55816047332696439</v>
      </c>
      <c r="F24" s="11">
        <v>0</v>
      </c>
      <c r="G24" s="11">
        <v>5.2624762058258057E-2</v>
      </c>
      <c r="H24" s="40">
        <v>5.9436076989789679E-4</v>
      </c>
      <c r="I24" s="40">
        <v>1.3186360532455323</v>
      </c>
      <c r="J24" s="59">
        <v>0</v>
      </c>
      <c r="K24" s="59">
        <v>7344.3586006760597</v>
      </c>
      <c r="L24" s="59">
        <v>0</v>
      </c>
      <c r="M24" s="11">
        <v>0.90130352973937988</v>
      </c>
      <c r="N24" s="11">
        <v>0.75877338647842407</v>
      </c>
      <c r="O24" s="11">
        <v>0.25487208366394043</v>
      </c>
      <c r="Q24" s="59">
        <v>15.643558777873503</v>
      </c>
      <c r="R24" s="78">
        <v>549.44208387030289</v>
      </c>
      <c r="S24" s="78">
        <v>15.673505923982773</v>
      </c>
      <c r="T24" s="78">
        <v>666.35262579091295</v>
      </c>
      <c r="U24" s="78">
        <v>2.9947146109270406E-2</v>
      </c>
      <c r="V24" s="78">
        <v>116.91054192061006</v>
      </c>
      <c r="X24" s="28">
        <f t="shared" si="4"/>
        <v>33866.387227451407</v>
      </c>
      <c r="Y24" s="28">
        <f t="shared" si="5"/>
        <v>33815.360406971187</v>
      </c>
      <c r="Z24" s="28">
        <f t="shared" si="0"/>
        <v>-51.026820480215164</v>
      </c>
      <c r="AB24">
        <f t="shared" si="6"/>
        <v>1</v>
      </c>
      <c r="AC24">
        <f t="shared" si="7"/>
        <v>0</v>
      </c>
      <c r="AD24">
        <f t="shared" si="1"/>
        <v>0</v>
      </c>
      <c r="AF24">
        <v>5000</v>
      </c>
      <c r="AG24">
        <v>0.16</v>
      </c>
      <c r="AH24">
        <v>0.84</v>
      </c>
      <c r="AI24">
        <v>0.84</v>
      </c>
      <c r="AK24" s="28">
        <f t="shared" si="2"/>
        <v>33866.387227451407</v>
      </c>
      <c r="AP24">
        <v>5000</v>
      </c>
      <c r="AQ24" s="28">
        <v>456714.33312491601</v>
      </c>
      <c r="AS24" s="28"/>
      <c r="AT24" s="28"/>
      <c r="AU24" s="28"/>
    </row>
    <row r="25" spans="1:47" x14ac:dyDescent="0.15">
      <c r="A25">
        <v>20</v>
      </c>
      <c r="C25" s="11">
        <v>1.2061834335327148E-2</v>
      </c>
      <c r="D25" s="11">
        <v>1.0654792189598083E-2</v>
      </c>
      <c r="E25" s="11">
        <v>0.18333688765047318</v>
      </c>
      <c r="F25" s="11">
        <v>0</v>
      </c>
      <c r="G25" s="11">
        <v>2.8051465749740601E-2</v>
      </c>
      <c r="H25" s="40">
        <v>3.7051106793226638E-4</v>
      </c>
      <c r="I25" s="40">
        <v>1.5649107831425755</v>
      </c>
      <c r="J25" s="59">
        <v>0</v>
      </c>
      <c r="K25" s="59">
        <v>5397.0050066709518</v>
      </c>
      <c r="L25" s="59">
        <v>0</v>
      </c>
      <c r="M25" s="11">
        <v>0.89726686477661133</v>
      </c>
      <c r="N25" s="11">
        <v>0.67741131782531738</v>
      </c>
      <c r="O25" s="11">
        <v>0.32898056507110596</v>
      </c>
      <c r="Q25" s="59">
        <v>15.551871388383473</v>
      </c>
      <c r="R25" s="78">
        <v>522.60167245642424</v>
      </c>
      <c r="S25" s="78">
        <v>15.637943753533579</v>
      </c>
      <c r="T25" s="78">
        <v>603.02757287179998</v>
      </c>
      <c r="U25" s="78">
        <v>8.6072365150105412E-2</v>
      </c>
      <c r="V25" s="78">
        <v>80.425900415375736</v>
      </c>
      <c r="X25" s="28">
        <f t="shared" si="4"/>
        <v>33691.515381987214</v>
      </c>
      <c r="Y25" s="28">
        <f t="shared" si="5"/>
        <v>33800.448684902076</v>
      </c>
      <c r="Z25" s="28">
        <f t="shared" si="0"/>
        <v>108.93330291485617</v>
      </c>
      <c r="AB25">
        <f t="shared" si="6"/>
        <v>0</v>
      </c>
      <c r="AC25">
        <f t="shared" si="7"/>
        <v>1</v>
      </c>
      <c r="AD25">
        <f t="shared" si="1"/>
        <v>1</v>
      </c>
      <c r="AF25">
        <v>6000</v>
      </c>
      <c r="AG25">
        <v>0.1</v>
      </c>
      <c r="AH25">
        <v>0.9</v>
      </c>
      <c r="AI25">
        <v>0.9</v>
      </c>
      <c r="AK25" s="28">
        <f t="shared" si="2"/>
        <v>33800.448684902076</v>
      </c>
      <c r="AP25">
        <v>6000</v>
      </c>
      <c r="AQ25" s="28">
        <v>139029.0041303958</v>
      </c>
      <c r="AS25" s="28"/>
      <c r="AT25" s="28"/>
      <c r="AU25" s="28"/>
    </row>
    <row r="26" spans="1:47" x14ac:dyDescent="0.15">
      <c r="A26">
        <v>21</v>
      </c>
      <c r="C26" s="11">
        <v>4.4798851013183594E-2</v>
      </c>
      <c r="D26" s="11">
        <v>1.5509724617004395E-3</v>
      </c>
      <c r="E26" s="11">
        <v>0.23978302710970686</v>
      </c>
      <c r="F26" s="11">
        <v>0</v>
      </c>
      <c r="G26" s="11">
        <v>3.773200511932373E-2</v>
      </c>
      <c r="H26" s="40">
        <v>3.2976963450648066E-4</v>
      </c>
      <c r="I26" s="40">
        <v>1.4545747671019369</v>
      </c>
      <c r="J26" s="59">
        <v>0</v>
      </c>
      <c r="K26" s="59">
        <v>4802.0109534263611</v>
      </c>
      <c r="L26" s="59">
        <v>0</v>
      </c>
      <c r="M26" s="11">
        <v>0.8836597204208374</v>
      </c>
      <c r="N26" s="11">
        <v>0.78266525268554688</v>
      </c>
      <c r="O26" s="11">
        <v>0.27468889951705933</v>
      </c>
      <c r="Q26" s="59">
        <v>14.868409931967969</v>
      </c>
      <c r="R26" s="78">
        <v>469.80585442507902</v>
      </c>
      <c r="S26" s="78">
        <v>14.899406340859226</v>
      </c>
      <c r="T26" s="78">
        <v>597.37012307551845</v>
      </c>
      <c r="U26" s="78">
        <v>3.0996408891256877E-2</v>
      </c>
      <c r="V26" s="78">
        <v>127.56426865043943</v>
      </c>
      <c r="X26" s="28">
        <f t="shared" si="4"/>
        <v>32240.695995904454</v>
      </c>
      <c r="Y26" s="28">
        <f t="shared" si="5"/>
        <v>32181.323826814776</v>
      </c>
      <c r="Z26" s="28">
        <f t="shared" si="0"/>
        <v>-59.372169089674301</v>
      </c>
      <c r="AB26">
        <f t="shared" si="6"/>
        <v>1</v>
      </c>
      <c r="AC26">
        <f t="shared" si="7"/>
        <v>0</v>
      </c>
      <c r="AD26">
        <f t="shared" si="1"/>
        <v>0</v>
      </c>
      <c r="AF26">
        <v>7000</v>
      </c>
      <c r="AG26">
        <v>0.06</v>
      </c>
      <c r="AH26">
        <v>0.94</v>
      </c>
      <c r="AI26">
        <v>0.94</v>
      </c>
      <c r="AK26" s="28">
        <f t="shared" si="2"/>
        <v>32240.695995904454</v>
      </c>
      <c r="AP26">
        <v>7000</v>
      </c>
      <c r="AQ26" s="28">
        <v>10534.050051395634</v>
      </c>
      <c r="AS26" s="28"/>
      <c r="AT26" s="28"/>
      <c r="AU26" s="28"/>
    </row>
    <row r="27" spans="1:47" x14ac:dyDescent="0.15">
      <c r="A27">
        <v>22</v>
      </c>
      <c r="C27" s="11">
        <v>1.4336913824081421E-2</v>
      </c>
      <c r="D27" s="11">
        <v>2.0869255065917969E-2</v>
      </c>
      <c r="E27" s="11">
        <v>0.3182590939555221</v>
      </c>
      <c r="F27" s="11">
        <v>0</v>
      </c>
      <c r="G27" s="11">
        <v>4.9737006425857544E-2</v>
      </c>
      <c r="H27" s="40">
        <v>5.2415098542662466E-4</v>
      </c>
      <c r="I27" s="40">
        <v>1.3622784172468854</v>
      </c>
      <c r="J27" s="59">
        <v>0</v>
      </c>
      <c r="K27" s="59">
        <v>5549.2413230240345</v>
      </c>
      <c r="L27" s="59">
        <v>0</v>
      </c>
      <c r="M27" s="11">
        <v>0.89885485172271729</v>
      </c>
      <c r="N27" s="11">
        <v>0.72820162773132324</v>
      </c>
      <c r="O27" s="11">
        <v>0.2961905300617218</v>
      </c>
      <c r="Q27" s="59">
        <v>15.573907678506913</v>
      </c>
      <c r="R27" s="78">
        <v>509.58335168063428</v>
      </c>
      <c r="S27" s="78">
        <v>15.625053651353001</v>
      </c>
      <c r="T27" s="78">
        <v>616.18463245960106</v>
      </c>
      <c r="U27" s="78">
        <v>5.1145972846088128E-2</v>
      </c>
      <c r="V27" s="78">
        <v>106.60128077896678</v>
      </c>
      <c r="X27" s="28">
        <f t="shared" si="4"/>
        <v>33753.013541034568</v>
      </c>
      <c r="Y27" s="28">
        <f t="shared" si="5"/>
        <v>33758.933400516995</v>
      </c>
      <c r="Z27" s="28">
        <f t="shared" si="0"/>
        <v>5.9198594824270998</v>
      </c>
      <c r="AB27">
        <f t="shared" si="6"/>
        <v>0</v>
      </c>
      <c r="AC27">
        <f t="shared" si="7"/>
        <v>1</v>
      </c>
      <c r="AD27">
        <f t="shared" si="1"/>
        <v>1</v>
      </c>
      <c r="AF27">
        <v>8000</v>
      </c>
      <c r="AG27">
        <v>0.04</v>
      </c>
      <c r="AH27">
        <v>0.96</v>
      </c>
      <c r="AI27">
        <v>0.96</v>
      </c>
      <c r="AK27" s="28">
        <f t="shared" si="2"/>
        <v>33758.933400516995</v>
      </c>
      <c r="AP27">
        <v>8000</v>
      </c>
      <c r="AQ27" s="28">
        <v>0</v>
      </c>
      <c r="AS27" s="28"/>
      <c r="AT27" s="28"/>
      <c r="AU27" s="28"/>
    </row>
    <row r="28" spans="1:47" x14ac:dyDescent="0.15">
      <c r="A28">
        <v>23</v>
      </c>
      <c r="C28" s="11">
        <v>5.8848381042480469E-2</v>
      </c>
      <c r="D28" s="11">
        <v>1.2544140219688416E-2</v>
      </c>
      <c r="E28" s="11">
        <v>0.21996948524887291</v>
      </c>
      <c r="F28" s="11">
        <v>0</v>
      </c>
      <c r="G28" s="11">
        <v>6.3691854476928711E-2</v>
      </c>
      <c r="H28" s="40">
        <v>5.1049096583210792E-4</v>
      </c>
      <c r="I28" s="40">
        <v>1.3707921234909073</v>
      </c>
      <c r="J28" s="59">
        <v>0</v>
      </c>
      <c r="K28" s="59">
        <v>4677.7515672147274</v>
      </c>
      <c r="L28" s="59">
        <v>0</v>
      </c>
      <c r="M28" s="11">
        <v>0.85987675189971924</v>
      </c>
      <c r="N28" s="11">
        <v>0.71192449331283569</v>
      </c>
      <c r="O28" s="11">
        <v>0.35041689872741699</v>
      </c>
      <c r="Q28" s="59">
        <v>14.232910563375238</v>
      </c>
      <c r="R28" s="78">
        <v>493.35052222394501</v>
      </c>
      <c r="S28" s="78">
        <v>14.280900748303285</v>
      </c>
      <c r="T28" s="78">
        <v>601.12356554369262</v>
      </c>
      <c r="U28" s="78">
        <v>4.7990184928046631E-2</v>
      </c>
      <c r="V28" s="78">
        <v>107.77304331974761</v>
      </c>
      <c r="X28" s="28">
        <f t="shared" si="4"/>
        <v>30819.052717201579</v>
      </c>
      <c r="Y28" s="28">
        <f t="shared" si="5"/>
        <v>30816.858080723534</v>
      </c>
      <c r="Z28" s="28">
        <f t="shared" si="0"/>
        <v>-2.1946364780450267</v>
      </c>
      <c r="AB28">
        <f t="shared" si="6"/>
        <v>1</v>
      </c>
      <c r="AC28">
        <f t="shared" si="7"/>
        <v>0</v>
      </c>
      <c r="AD28">
        <f t="shared" si="1"/>
        <v>0</v>
      </c>
      <c r="AF28">
        <v>9000</v>
      </c>
      <c r="AG28">
        <v>0.02</v>
      </c>
      <c r="AH28">
        <v>0.98</v>
      </c>
      <c r="AI28">
        <v>0.98</v>
      </c>
      <c r="AK28" s="28">
        <f t="shared" si="2"/>
        <v>30819.052717201579</v>
      </c>
      <c r="AP28">
        <v>9000</v>
      </c>
      <c r="AQ28" s="28">
        <v>0</v>
      </c>
      <c r="AS28" s="28"/>
      <c r="AT28" s="28"/>
      <c r="AU28" s="28"/>
    </row>
    <row r="29" spans="1:47" x14ac:dyDescent="0.15">
      <c r="A29">
        <v>24</v>
      </c>
      <c r="C29" s="11">
        <v>1.4887422323226929E-2</v>
      </c>
      <c r="D29" s="11">
        <v>9.4609707593917847E-3</v>
      </c>
      <c r="E29" s="11">
        <v>0.45035465312205264</v>
      </c>
      <c r="F29" s="11">
        <v>0</v>
      </c>
      <c r="G29" s="11">
        <v>4.0978550910949707E-2</v>
      </c>
      <c r="H29" s="40">
        <v>4.106506170519212E-4</v>
      </c>
      <c r="I29" s="40">
        <v>1.3516654689042236</v>
      </c>
      <c r="J29" s="59">
        <v>0</v>
      </c>
      <c r="K29" s="59">
        <v>4565.2198605239391</v>
      </c>
      <c r="L29" s="59">
        <v>0</v>
      </c>
      <c r="M29" s="11">
        <v>0.86866664886474609</v>
      </c>
      <c r="N29" s="11">
        <v>0.67949104309082031</v>
      </c>
      <c r="O29" s="11">
        <v>0.28110063076019287</v>
      </c>
      <c r="Q29" s="59">
        <v>15.057852143726054</v>
      </c>
      <c r="R29" s="78">
        <v>463.61679796305361</v>
      </c>
      <c r="S29" s="78">
        <v>15.089251433129244</v>
      </c>
      <c r="T29" s="78">
        <v>610.56071503500448</v>
      </c>
      <c r="U29" s="78">
        <v>3.1399289403189812E-2</v>
      </c>
      <c r="V29" s="78">
        <v>146.94391707195086</v>
      </c>
      <c r="X29" s="28">
        <f t="shared" si="4"/>
        <v>32663.657918234261</v>
      </c>
      <c r="Y29" s="28">
        <f t="shared" si="5"/>
        <v>32585.792437849334</v>
      </c>
      <c r="Z29" s="28">
        <f t="shared" si="0"/>
        <v>-77.865480384933278</v>
      </c>
      <c r="AB29">
        <f t="shared" si="6"/>
        <v>1</v>
      </c>
      <c r="AC29">
        <f t="shared" si="7"/>
        <v>0</v>
      </c>
      <c r="AD29">
        <f t="shared" si="1"/>
        <v>0</v>
      </c>
      <c r="AF29">
        <v>10000</v>
      </c>
      <c r="AG29">
        <v>0</v>
      </c>
      <c r="AH29">
        <v>1</v>
      </c>
      <c r="AI29">
        <v>1</v>
      </c>
      <c r="AK29" s="28">
        <f t="shared" si="2"/>
        <v>32663.657918234261</v>
      </c>
      <c r="AP29">
        <v>10000</v>
      </c>
      <c r="AQ29" s="28">
        <v>0</v>
      </c>
      <c r="AS29" s="28"/>
      <c r="AT29" s="28"/>
      <c r="AU29" s="28"/>
    </row>
    <row r="30" spans="1:47" x14ac:dyDescent="0.15">
      <c r="A30">
        <v>25</v>
      </c>
      <c r="C30" s="11">
        <v>3.8349270820617676E-2</v>
      </c>
      <c r="D30" s="11">
        <v>3.2876908779144287E-2</v>
      </c>
      <c r="E30" s="11">
        <v>0.26629498814208691</v>
      </c>
      <c r="F30" s="11">
        <v>0</v>
      </c>
      <c r="G30" s="11">
        <v>4.4581860303878784E-2</v>
      </c>
      <c r="H30" s="40">
        <v>4.9962108376071235E-4</v>
      </c>
      <c r="I30" s="40">
        <v>1.4406969066407691</v>
      </c>
      <c r="J30" s="59">
        <v>0</v>
      </c>
      <c r="K30" s="59">
        <v>4540.3442345559597</v>
      </c>
      <c r="L30" s="59">
        <v>0</v>
      </c>
      <c r="M30" s="11">
        <v>0.84439194202423096</v>
      </c>
      <c r="N30" s="11">
        <v>0.75050145387649536</v>
      </c>
      <c r="O30" s="11">
        <v>0.34421300888061523</v>
      </c>
      <c r="Q30" s="59">
        <v>14.279825454185282</v>
      </c>
      <c r="R30" s="78">
        <v>501.05752199891612</v>
      </c>
      <c r="S30" s="78">
        <v>14.325894330987605</v>
      </c>
      <c r="T30" s="78">
        <v>607.92818481588358</v>
      </c>
      <c r="U30" s="78">
        <v>4.6068876802323189E-2</v>
      </c>
      <c r="V30" s="78">
        <v>106.87066281696747</v>
      </c>
      <c r="X30" s="28">
        <f t="shared" si="4"/>
        <v>30914.558477208706</v>
      </c>
      <c r="Y30" s="28">
        <f t="shared" si="5"/>
        <v>30909.03934335685</v>
      </c>
      <c r="Z30" s="28">
        <f t="shared" si="0"/>
        <v>-5.5191338518564521</v>
      </c>
      <c r="AB30">
        <f t="shared" si="6"/>
        <v>1</v>
      </c>
      <c r="AC30">
        <f t="shared" si="7"/>
        <v>0</v>
      </c>
      <c r="AD30">
        <f t="shared" si="1"/>
        <v>0</v>
      </c>
      <c r="AF30">
        <v>11000</v>
      </c>
      <c r="AG30">
        <v>0</v>
      </c>
      <c r="AH30">
        <v>1</v>
      </c>
      <c r="AI30">
        <v>1</v>
      </c>
      <c r="AK30" s="28">
        <f t="shared" si="2"/>
        <v>30914.558477208706</v>
      </c>
      <c r="AP30">
        <v>11000</v>
      </c>
      <c r="AQ30" s="28">
        <v>0</v>
      </c>
      <c r="AS30" s="28"/>
      <c r="AT30" s="28"/>
      <c r="AU30" s="28"/>
    </row>
    <row r="31" spans="1:47" x14ac:dyDescent="0.15">
      <c r="A31">
        <v>26</v>
      </c>
      <c r="C31" s="11">
        <v>1.443164050579071E-2</v>
      </c>
      <c r="D31" s="11">
        <v>4.0148258209228516E-2</v>
      </c>
      <c r="E31" s="11">
        <v>0.28554428280791422</v>
      </c>
      <c r="F31" s="11">
        <v>0</v>
      </c>
      <c r="G31" s="11">
        <v>4.0464937686920166E-2</v>
      </c>
      <c r="H31" s="40">
        <v>3.4016578881879351E-4</v>
      </c>
      <c r="I31" s="40">
        <v>1.4396542348698089</v>
      </c>
      <c r="J31" s="59">
        <v>0</v>
      </c>
      <c r="K31" s="59">
        <v>5300.6596863269806</v>
      </c>
      <c r="L31" s="59">
        <v>0</v>
      </c>
      <c r="M31" s="11">
        <v>0.84876090288162231</v>
      </c>
      <c r="N31" s="11">
        <v>0.80419540405273438</v>
      </c>
      <c r="O31" s="11">
        <v>0.28380167484283447</v>
      </c>
      <c r="Q31" s="59">
        <v>14.738439060821099</v>
      </c>
      <c r="R31" s="78">
        <v>479.58093106045527</v>
      </c>
      <c r="S31" s="78">
        <v>14.765003242620971</v>
      </c>
      <c r="T31" s="78">
        <v>603.67579997150403</v>
      </c>
      <c r="U31" s="78">
        <v>2.6564181799871633E-2</v>
      </c>
      <c r="V31" s="78">
        <v>124.09486891104876</v>
      </c>
      <c r="X31" s="28">
        <f t="shared" si="4"/>
        <v>31944.985002745962</v>
      </c>
      <c r="Y31" s="28">
        <f t="shared" si="5"/>
        <v>31879.331333794631</v>
      </c>
      <c r="Z31" s="28">
        <f t="shared" si="0"/>
        <v>-65.65366895133117</v>
      </c>
      <c r="AB31">
        <f t="shared" si="6"/>
        <v>1</v>
      </c>
      <c r="AC31">
        <f t="shared" si="7"/>
        <v>0</v>
      </c>
      <c r="AD31">
        <f t="shared" si="1"/>
        <v>0</v>
      </c>
      <c r="AF31">
        <v>12000</v>
      </c>
      <c r="AG31">
        <v>0</v>
      </c>
      <c r="AH31">
        <v>1</v>
      </c>
      <c r="AI31">
        <v>1</v>
      </c>
      <c r="AK31" s="28">
        <f t="shared" si="2"/>
        <v>31944.985002745962</v>
      </c>
      <c r="AP31">
        <v>12000</v>
      </c>
      <c r="AQ31" s="28">
        <v>0</v>
      </c>
      <c r="AS31" s="28"/>
      <c r="AT31" s="28"/>
      <c r="AU31" s="28"/>
    </row>
    <row r="32" spans="1:47" x14ac:dyDescent="0.15">
      <c r="A32">
        <v>27</v>
      </c>
      <c r="C32" s="11">
        <v>7.5351446866989136E-3</v>
      </c>
      <c r="D32" s="11">
        <v>7.2955191135406494E-3</v>
      </c>
      <c r="E32" s="11">
        <v>0.40314459089885835</v>
      </c>
      <c r="F32" s="11">
        <v>0</v>
      </c>
      <c r="G32" s="11">
        <v>4.2973458766937256E-2</v>
      </c>
      <c r="H32" s="40">
        <v>6.7930812589330554E-4</v>
      </c>
      <c r="I32" s="40">
        <v>1.3671845815542432</v>
      </c>
      <c r="J32" s="59">
        <v>0</v>
      </c>
      <c r="K32" s="59">
        <v>4993.3698028326035</v>
      </c>
      <c r="L32" s="59">
        <v>0</v>
      </c>
      <c r="M32" s="11">
        <v>0.8794671893119812</v>
      </c>
      <c r="N32" s="11">
        <v>0.7481456995010376</v>
      </c>
      <c r="O32" s="11">
        <v>0.29326328635215759</v>
      </c>
      <c r="Q32" s="59">
        <v>15.338550096099368</v>
      </c>
      <c r="R32" s="78">
        <v>527.05377129490682</v>
      </c>
      <c r="S32" s="78">
        <v>15.385200412662099</v>
      </c>
      <c r="T32" s="78">
        <v>633.31330226544969</v>
      </c>
      <c r="U32" s="78">
        <v>4.665031656273122E-2</v>
      </c>
      <c r="V32" s="78">
        <v>106.25953097054287</v>
      </c>
      <c r="X32" s="28">
        <f t="shared" si="4"/>
        <v>33217.756440123703</v>
      </c>
      <c r="Y32" s="28">
        <f t="shared" si="5"/>
        <v>33214.127605591166</v>
      </c>
      <c r="Z32" s="28">
        <f t="shared" si="0"/>
        <v>-3.6288345325341851</v>
      </c>
      <c r="AB32">
        <f t="shared" si="6"/>
        <v>1</v>
      </c>
      <c r="AC32">
        <f t="shared" si="7"/>
        <v>0</v>
      </c>
      <c r="AD32">
        <f t="shared" si="1"/>
        <v>0</v>
      </c>
      <c r="AF32">
        <v>13000</v>
      </c>
      <c r="AG32">
        <v>0</v>
      </c>
      <c r="AH32">
        <v>1</v>
      </c>
      <c r="AI32">
        <v>1</v>
      </c>
      <c r="AK32" s="28">
        <f t="shared" si="2"/>
        <v>33217.756440123703</v>
      </c>
      <c r="AP32">
        <v>13000</v>
      </c>
      <c r="AQ32" s="28">
        <v>0</v>
      </c>
      <c r="AS32" s="28"/>
      <c r="AT32" s="28"/>
      <c r="AU32" s="28"/>
    </row>
    <row r="33" spans="1:47" x14ac:dyDescent="0.15">
      <c r="A33">
        <v>28</v>
      </c>
      <c r="C33" s="11">
        <v>3.8413405418395996E-3</v>
      </c>
      <c r="D33" s="11">
        <v>7.1035385131835938E-2</v>
      </c>
      <c r="E33" s="11">
        <v>0.20304663729698844</v>
      </c>
      <c r="F33" s="11">
        <v>0</v>
      </c>
      <c r="G33" s="11">
        <v>2.3188322782516479E-2</v>
      </c>
      <c r="H33" s="40">
        <v>4.5052912167679784E-4</v>
      </c>
      <c r="I33" s="40">
        <v>1.4092992847995423</v>
      </c>
      <c r="J33" s="59">
        <v>0</v>
      </c>
      <c r="K33" s="59">
        <v>4982.3150038719177</v>
      </c>
      <c r="L33" s="59">
        <v>0</v>
      </c>
      <c r="M33" s="11">
        <v>0.82254528999328613</v>
      </c>
      <c r="N33" s="11">
        <v>0.72784054279327393</v>
      </c>
      <c r="O33" s="11">
        <v>0.30261245369911194</v>
      </c>
      <c r="Q33" s="59">
        <v>14.41277246645376</v>
      </c>
      <c r="R33" s="78">
        <v>483.22635434803016</v>
      </c>
      <c r="S33" s="78">
        <v>14.460812872490463</v>
      </c>
      <c r="T33" s="78">
        <v>597.35680219537528</v>
      </c>
      <c r="U33" s="78">
        <v>4.8040406036703232E-2</v>
      </c>
      <c r="V33" s="78">
        <v>114.13044784734512</v>
      </c>
      <c r="X33" s="28">
        <f t="shared" si="4"/>
        <v>31224.873071850241</v>
      </c>
      <c r="Y33" s="28">
        <f t="shared" si="5"/>
        <v>31216.431517283643</v>
      </c>
      <c r="Z33" s="28">
        <f t="shared" si="0"/>
        <v>-8.4415545665980147</v>
      </c>
      <c r="AB33">
        <f t="shared" si="6"/>
        <v>1</v>
      </c>
      <c r="AC33">
        <f t="shared" si="7"/>
        <v>0</v>
      </c>
      <c r="AD33">
        <f t="shared" si="1"/>
        <v>0</v>
      </c>
      <c r="AF33">
        <v>14000</v>
      </c>
      <c r="AG33">
        <v>0</v>
      </c>
      <c r="AH33">
        <v>1</v>
      </c>
      <c r="AI33">
        <v>1</v>
      </c>
      <c r="AK33" s="28">
        <f t="shared" si="2"/>
        <v>31224.873071850241</v>
      </c>
      <c r="AP33">
        <v>14000</v>
      </c>
      <c r="AQ33" s="28">
        <v>0</v>
      </c>
      <c r="AS33" s="28"/>
      <c r="AT33" s="28"/>
      <c r="AU33" s="28"/>
    </row>
    <row r="34" spans="1:47" x14ac:dyDescent="0.15">
      <c r="A34">
        <v>29</v>
      </c>
      <c r="C34" s="11">
        <v>2.3796528577804565E-2</v>
      </c>
      <c r="D34" s="11">
        <v>3.3197492361068726E-2</v>
      </c>
      <c r="E34" s="11">
        <v>0.21344525763974267</v>
      </c>
      <c r="F34" s="11">
        <v>0</v>
      </c>
      <c r="G34" s="11">
        <v>4.1017621755599976E-2</v>
      </c>
      <c r="H34" s="40">
        <v>5.7556810381580365E-4</v>
      </c>
      <c r="I34" s="40">
        <v>1.4002360861294378</v>
      </c>
      <c r="J34" s="59">
        <v>0</v>
      </c>
      <c r="K34" s="59">
        <v>6474.936380982399</v>
      </c>
      <c r="L34" s="59">
        <v>0</v>
      </c>
      <c r="M34" s="11">
        <v>0.87645024061203003</v>
      </c>
      <c r="N34" s="11">
        <v>0.7538754940032959</v>
      </c>
      <c r="O34" s="11">
        <v>0.27191847562789917</v>
      </c>
      <c r="Q34" s="59">
        <v>15.033786915418538</v>
      </c>
      <c r="R34" s="78">
        <v>549.82251139928235</v>
      </c>
      <c r="S34" s="78">
        <v>15.095665418313809</v>
      </c>
      <c r="T34" s="78">
        <v>612.78636976104258</v>
      </c>
      <c r="U34" s="78">
        <v>6.1878502895270415E-2</v>
      </c>
      <c r="V34" s="78">
        <v>62.963858361760231</v>
      </c>
      <c r="X34" s="28">
        <f t="shared" si="4"/>
        <v>32524.508702521503</v>
      </c>
      <c r="Y34" s="28">
        <f t="shared" si="5"/>
        <v>32597.677550529337</v>
      </c>
      <c r="Z34" s="28">
        <f t="shared" si="0"/>
        <v>73.168848007834697</v>
      </c>
      <c r="AB34">
        <f t="shared" si="6"/>
        <v>0</v>
      </c>
      <c r="AC34">
        <f t="shared" si="7"/>
        <v>1</v>
      </c>
      <c r="AD34">
        <f t="shared" si="1"/>
        <v>1</v>
      </c>
      <c r="AF34">
        <v>15000</v>
      </c>
      <c r="AG34">
        <v>0</v>
      </c>
      <c r="AH34">
        <v>1</v>
      </c>
      <c r="AI34">
        <v>1</v>
      </c>
      <c r="AK34" s="28">
        <f t="shared" si="2"/>
        <v>32597.677550529337</v>
      </c>
      <c r="AP34">
        <v>15000</v>
      </c>
      <c r="AQ34" s="28">
        <v>0</v>
      </c>
      <c r="AS34" s="28"/>
      <c r="AT34" s="28"/>
      <c r="AU34" s="28"/>
    </row>
    <row r="35" spans="1:47" x14ac:dyDescent="0.15">
      <c r="A35">
        <v>30</v>
      </c>
      <c r="C35" s="11">
        <v>1.770472526550293E-2</v>
      </c>
      <c r="D35" s="11">
        <v>8.2838833332061768E-3</v>
      </c>
      <c r="E35" s="11">
        <v>0.22615215815890991</v>
      </c>
      <c r="F35" s="11">
        <v>0</v>
      </c>
      <c r="G35" s="11">
        <v>2.0505040884017944E-2</v>
      </c>
      <c r="H35" s="40">
        <v>3.2098968790297914E-4</v>
      </c>
      <c r="I35" s="40">
        <v>1.5448132988802017</v>
      </c>
      <c r="J35" s="59">
        <v>0</v>
      </c>
      <c r="K35" s="59">
        <v>6094.7565361857414</v>
      </c>
      <c r="L35" s="59">
        <v>0</v>
      </c>
      <c r="M35" s="11">
        <v>0.87403762340545654</v>
      </c>
      <c r="N35" s="11">
        <v>0.80264556407928467</v>
      </c>
      <c r="O35" s="11">
        <v>0.28288021683692932</v>
      </c>
      <c r="Q35" s="59">
        <v>15.121180707562212</v>
      </c>
      <c r="R35" s="78">
        <v>507.48108008340051</v>
      </c>
      <c r="S35" s="78">
        <v>15.155142791402021</v>
      </c>
      <c r="T35" s="78">
        <v>605.04203763049998</v>
      </c>
      <c r="U35" s="78">
        <v>3.3962083839808699E-2</v>
      </c>
      <c r="V35" s="78">
        <v>97.560957547099463</v>
      </c>
      <c r="X35" s="28">
        <f t="shared" si="4"/>
        <v>32759.116476553463</v>
      </c>
      <c r="Y35" s="28">
        <f t="shared" si="5"/>
        <v>32736.272103453946</v>
      </c>
      <c r="Z35" s="28">
        <f t="shared" si="0"/>
        <v>-22.844373099520325</v>
      </c>
      <c r="AB35">
        <f t="shared" si="6"/>
        <v>1</v>
      </c>
      <c r="AC35">
        <f t="shared" si="7"/>
        <v>0</v>
      </c>
      <c r="AD35">
        <f t="shared" si="1"/>
        <v>0</v>
      </c>
      <c r="AF35">
        <v>16000</v>
      </c>
      <c r="AG35">
        <v>0</v>
      </c>
      <c r="AH35">
        <v>1</v>
      </c>
      <c r="AI35">
        <v>1</v>
      </c>
      <c r="AK35" s="28">
        <f t="shared" si="2"/>
        <v>32759.116476553463</v>
      </c>
      <c r="AP35">
        <v>16000</v>
      </c>
      <c r="AQ35" s="28">
        <v>0</v>
      </c>
      <c r="AS35" s="28"/>
      <c r="AT35" s="28"/>
      <c r="AU35" s="28"/>
    </row>
    <row r="36" spans="1:47" x14ac:dyDescent="0.15">
      <c r="A36">
        <v>31</v>
      </c>
      <c r="C36" s="11">
        <v>1.3571023941040039E-2</v>
      </c>
      <c r="D36" s="11">
        <v>4.1479766368865967E-2</v>
      </c>
      <c r="E36" s="11">
        <v>0.20293235670489829</v>
      </c>
      <c r="F36" s="11">
        <v>0</v>
      </c>
      <c r="G36" s="11">
        <v>5.1201999187469482E-2</v>
      </c>
      <c r="H36" s="40">
        <v>5.2158137514420641E-4</v>
      </c>
      <c r="I36" s="40">
        <v>1.3334966592310113</v>
      </c>
      <c r="J36" s="59">
        <v>0</v>
      </c>
      <c r="K36" s="59">
        <v>7661.5624129772186</v>
      </c>
      <c r="L36" s="59">
        <v>0</v>
      </c>
      <c r="M36" s="11">
        <v>0.91524219512939453</v>
      </c>
      <c r="N36" s="11">
        <v>0.72206360101699829</v>
      </c>
      <c r="O36" s="11">
        <v>0.3442765474319458</v>
      </c>
      <c r="Q36" s="59">
        <v>15.868538726998656</v>
      </c>
      <c r="R36" s="78">
        <v>540.32455408261853</v>
      </c>
      <c r="S36" s="78">
        <v>15.93091821017388</v>
      </c>
      <c r="T36" s="78">
        <v>609.03385674877836</v>
      </c>
      <c r="U36" s="78">
        <v>6.2379483175224237E-2</v>
      </c>
      <c r="V36" s="78">
        <v>68.709302666159829</v>
      </c>
      <c r="X36" s="28">
        <f t="shared" si="4"/>
        <v>34370.460645314422</v>
      </c>
      <c r="Y36" s="28">
        <f t="shared" si="5"/>
        <v>34438.986205633759</v>
      </c>
      <c r="Z36" s="28">
        <f t="shared" si="0"/>
        <v>68.525560319333493</v>
      </c>
      <c r="AB36">
        <f t="shared" si="6"/>
        <v>0</v>
      </c>
      <c r="AC36">
        <f t="shared" si="7"/>
        <v>1</v>
      </c>
      <c r="AD36">
        <f t="shared" si="1"/>
        <v>1</v>
      </c>
      <c r="AF36">
        <v>17000</v>
      </c>
      <c r="AG36">
        <v>0</v>
      </c>
      <c r="AH36">
        <v>1</v>
      </c>
      <c r="AI36">
        <v>1</v>
      </c>
      <c r="AK36" s="28">
        <f t="shared" si="2"/>
        <v>34438.986205633759</v>
      </c>
      <c r="AP36">
        <v>17000</v>
      </c>
      <c r="AQ36" s="28">
        <v>0</v>
      </c>
      <c r="AS36" s="28"/>
      <c r="AT36" s="28"/>
      <c r="AU36" s="28"/>
    </row>
    <row r="37" spans="1:47" x14ac:dyDescent="0.15">
      <c r="A37">
        <v>32</v>
      </c>
      <c r="C37" s="11">
        <v>2.4589359760284424E-2</v>
      </c>
      <c r="D37" s="11">
        <v>2.4506539106369019E-2</v>
      </c>
      <c r="E37" s="11">
        <v>0.2174744045742838</v>
      </c>
      <c r="F37" s="11">
        <v>0</v>
      </c>
      <c r="G37" s="11">
        <v>3.6142945289611816E-2</v>
      </c>
      <c r="H37" s="40">
        <v>5.8644262989534493E-4</v>
      </c>
      <c r="I37" s="40">
        <v>1.4020941206634658</v>
      </c>
      <c r="J37" s="59">
        <v>0</v>
      </c>
      <c r="K37" s="59">
        <v>6960.8679041266441</v>
      </c>
      <c r="L37" s="59">
        <v>0</v>
      </c>
      <c r="M37" s="11">
        <v>0.86305350065231323</v>
      </c>
      <c r="N37" s="11">
        <v>0.76418590545654297</v>
      </c>
      <c r="O37" s="11">
        <v>0.25936174392700195</v>
      </c>
      <c r="Q37" s="59">
        <v>14.800454749109059</v>
      </c>
      <c r="R37" s="78">
        <v>561.55811758514767</v>
      </c>
      <c r="S37" s="78">
        <v>14.854402110585676</v>
      </c>
      <c r="T37" s="78">
        <v>616.03086127505219</v>
      </c>
      <c r="U37" s="78">
        <v>5.3947361476616607E-2</v>
      </c>
      <c r="V37" s="78">
        <v>54.472743689904519</v>
      </c>
      <c r="X37" s="28">
        <f t="shared" si="4"/>
        <v>31999.442330454782</v>
      </c>
      <c r="Y37" s="28">
        <f t="shared" si="5"/>
        <v>32063.653782013436</v>
      </c>
      <c r="Z37" s="28">
        <f t="shared" si="0"/>
        <v>64.211451558652016</v>
      </c>
      <c r="AB37">
        <f t="shared" si="6"/>
        <v>0</v>
      </c>
      <c r="AC37">
        <f t="shared" si="7"/>
        <v>1</v>
      </c>
      <c r="AD37">
        <f t="shared" si="1"/>
        <v>1</v>
      </c>
      <c r="AF37">
        <v>18000</v>
      </c>
      <c r="AG37">
        <v>0</v>
      </c>
      <c r="AH37">
        <v>1</v>
      </c>
      <c r="AI37">
        <v>1</v>
      </c>
      <c r="AK37" s="28">
        <f t="shared" si="2"/>
        <v>32063.653782013436</v>
      </c>
      <c r="AP37">
        <v>18000</v>
      </c>
      <c r="AQ37" s="28">
        <v>0</v>
      </c>
      <c r="AS37" s="28"/>
      <c r="AT37" s="28"/>
      <c r="AU37" s="28"/>
    </row>
    <row r="38" spans="1:47" x14ac:dyDescent="0.15">
      <c r="A38">
        <v>33</v>
      </c>
      <c r="C38" s="11">
        <v>2.2945970296859741E-2</v>
      </c>
      <c r="D38" s="11">
        <v>3.8703083992004395E-2</v>
      </c>
      <c r="E38" s="11">
        <v>0.61847060039239554</v>
      </c>
      <c r="F38" s="11">
        <v>0</v>
      </c>
      <c r="G38" s="11">
        <v>5.2363157272338867E-2</v>
      </c>
      <c r="H38" s="40">
        <v>3.6604276114264486E-4</v>
      </c>
      <c r="I38" s="40">
        <v>1.4997011196962182</v>
      </c>
      <c r="J38" s="59">
        <v>0</v>
      </c>
      <c r="K38" s="59">
        <v>5351.3189777731895</v>
      </c>
      <c r="L38" s="59">
        <v>0</v>
      </c>
      <c r="M38" s="11">
        <v>0.87205511331558228</v>
      </c>
      <c r="N38" s="11">
        <v>0.77259016036987305</v>
      </c>
      <c r="O38" s="11">
        <v>0.26381087303161621</v>
      </c>
      <c r="Q38" s="59">
        <v>14.984405171582235</v>
      </c>
      <c r="R38" s="78">
        <v>509.79288198421983</v>
      </c>
      <c r="S38" s="78">
        <v>15.009169715692403</v>
      </c>
      <c r="T38" s="78">
        <v>651.10194636073356</v>
      </c>
      <c r="U38" s="78">
        <v>2.4764544110167819E-2</v>
      </c>
      <c r="V38" s="78">
        <v>141.30906437651373</v>
      </c>
      <c r="X38" s="28">
        <f t="shared" si="4"/>
        <v>32455.898495496695</v>
      </c>
      <c r="Y38" s="28">
        <f t="shared" si="5"/>
        <v>32369.071428162551</v>
      </c>
      <c r="Z38" s="28">
        <f t="shared" si="0"/>
        <v>-86.82706733414453</v>
      </c>
      <c r="AB38">
        <f t="shared" si="6"/>
        <v>1</v>
      </c>
      <c r="AC38">
        <f t="shared" si="7"/>
        <v>0</v>
      </c>
      <c r="AD38">
        <f t="shared" si="1"/>
        <v>0</v>
      </c>
      <c r="AF38">
        <v>19000</v>
      </c>
      <c r="AG38">
        <v>0</v>
      </c>
      <c r="AH38">
        <v>1</v>
      </c>
      <c r="AI38">
        <v>1</v>
      </c>
      <c r="AK38" s="28">
        <f t="shared" si="2"/>
        <v>32455.898495496695</v>
      </c>
      <c r="AP38">
        <v>19000</v>
      </c>
      <c r="AQ38" s="28">
        <v>0</v>
      </c>
      <c r="AS38" s="28"/>
      <c r="AT38" s="28"/>
      <c r="AU38" s="28"/>
    </row>
    <row r="39" spans="1:47" x14ac:dyDescent="0.15">
      <c r="A39">
        <v>34</v>
      </c>
      <c r="C39" s="11">
        <v>2.4071007966995239E-2</v>
      </c>
      <c r="D39" s="11">
        <v>2.3228913545608521E-2</v>
      </c>
      <c r="E39" s="11">
        <v>9.7623004206217681E-2</v>
      </c>
      <c r="F39" s="11">
        <v>0</v>
      </c>
      <c r="G39" s="11">
        <v>3.8754016160964966E-2</v>
      </c>
      <c r="H39" s="40">
        <v>3.1006994699148024E-4</v>
      </c>
      <c r="I39" s="40">
        <v>1.534666661089495</v>
      </c>
      <c r="J39" s="59">
        <v>0</v>
      </c>
      <c r="K39" s="59">
        <v>5043.1443378329277</v>
      </c>
      <c r="L39" s="59">
        <v>0</v>
      </c>
      <c r="M39" s="11">
        <v>0.86459743976593018</v>
      </c>
      <c r="N39" s="11">
        <v>0.71152889728546143</v>
      </c>
      <c r="O39" s="11">
        <v>0.33649533987045288</v>
      </c>
      <c r="Q39" s="59">
        <v>14.838422130712335</v>
      </c>
      <c r="R39" s="78">
        <v>490.40934063679293</v>
      </c>
      <c r="S39" s="78">
        <v>14.897730248129392</v>
      </c>
      <c r="T39" s="78">
        <v>588.55988686041007</v>
      </c>
      <c r="U39" s="78">
        <v>5.9308117417057105E-2</v>
      </c>
      <c r="V39" s="78">
        <v>98.150546223617141</v>
      </c>
      <c r="X39" s="28">
        <f t="shared" si="4"/>
        <v>32154.119346930343</v>
      </c>
      <c r="Y39" s="28">
        <f t="shared" si="5"/>
        <v>32186.446659024255</v>
      </c>
      <c r="Z39" s="28">
        <f t="shared" si="0"/>
        <v>32.327312093908489</v>
      </c>
      <c r="AB39">
        <f t="shared" si="6"/>
        <v>0</v>
      </c>
      <c r="AC39">
        <f t="shared" si="7"/>
        <v>1</v>
      </c>
      <c r="AD39">
        <f t="shared" si="1"/>
        <v>1</v>
      </c>
      <c r="AF39">
        <v>20000</v>
      </c>
      <c r="AG39">
        <v>0</v>
      </c>
      <c r="AH39">
        <v>1</v>
      </c>
      <c r="AI39">
        <v>1</v>
      </c>
      <c r="AK39" s="28">
        <f t="shared" si="2"/>
        <v>32186.446659024255</v>
      </c>
      <c r="AP39">
        <v>20000</v>
      </c>
      <c r="AQ39" s="28">
        <v>0</v>
      </c>
      <c r="AS39" s="28"/>
      <c r="AT39" s="28"/>
      <c r="AU39" s="28"/>
    </row>
    <row r="40" spans="1:47" x14ac:dyDescent="0.15">
      <c r="A40">
        <v>35</v>
      </c>
      <c r="C40" s="11">
        <v>6.7916065454483032E-3</v>
      </c>
      <c r="D40" s="11">
        <v>1.9258096814155579E-2</v>
      </c>
      <c r="E40" s="11">
        <v>0.449440093207012</v>
      </c>
      <c r="F40" s="11">
        <v>0</v>
      </c>
      <c r="G40" s="11">
        <v>4.3353140354156494E-2</v>
      </c>
      <c r="H40" s="40">
        <v>5.1375837598441711E-4</v>
      </c>
      <c r="I40" s="40">
        <v>1.4127242143569287</v>
      </c>
      <c r="J40" s="59">
        <v>0</v>
      </c>
      <c r="K40" s="59">
        <v>6132.9267919063568</v>
      </c>
      <c r="L40" s="59">
        <v>0</v>
      </c>
      <c r="M40" s="11">
        <v>0.81517034769058228</v>
      </c>
      <c r="N40" s="11">
        <v>0.74236637353897095</v>
      </c>
      <c r="O40" s="11">
        <v>0.32936728000640869</v>
      </c>
      <c r="Q40" s="59">
        <v>14.250829848729575</v>
      </c>
      <c r="R40" s="78">
        <v>535.41381632157481</v>
      </c>
      <c r="S40" s="78">
        <v>14.278198777602359</v>
      </c>
      <c r="T40" s="78">
        <v>643.20951991971788</v>
      </c>
      <c r="U40" s="78">
        <v>2.7368928872784082E-2</v>
      </c>
      <c r="V40" s="78">
        <v>107.79570359814306</v>
      </c>
      <c r="X40" s="28">
        <f t="shared" si="4"/>
        <v>30816.411850883491</v>
      </c>
      <c r="Y40" s="28">
        <f t="shared" si="5"/>
        <v>30768.827790805473</v>
      </c>
      <c r="Z40" s="28">
        <f t="shared" si="0"/>
        <v>-47.584060078018084</v>
      </c>
      <c r="AB40">
        <f t="shared" si="6"/>
        <v>1</v>
      </c>
      <c r="AC40">
        <f t="shared" si="7"/>
        <v>0</v>
      </c>
      <c r="AD40">
        <f t="shared" si="1"/>
        <v>0</v>
      </c>
      <c r="AF40">
        <v>21000</v>
      </c>
      <c r="AG40">
        <v>0</v>
      </c>
      <c r="AH40">
        <v>1</v>
      </c>
      <c r="AI40">
        <v>1</v>
      </c>
      <c r="AK40" s="28">
        <f t="shared" si="2"/>
        <v>30816.411850883491</v>
      </c>
      <c r="AP40">
        <v>21000</v>
      </c>
      <c r="AQ40" s="28">
        <v>0</v>
      </c>
      <c r="AS40" s="28"/>
      <c r="AT40" s="28"/>
      <c r="AU40" s="28"/>
    </row>
    <row r="41" spans="1:47" x14ac:dyDescent="0.15">
      <c r="A41">
        <v>36</v>
      </c>
      <c r="C41" s="11">
        <v>3.0971527099609375E-2</v>
      </c>
      <c r="D41" s="11">
        <v>1.152452826499939E-2</v>
      </c>
      <c r="E41" s="11">
        <v>0.32086109793242673</v>
      </c>
      <c r="F41" s="11">
        <v>0</v>
      </c>
      <c r="G41" s="11">
        <v>3.8062691688537598E-2</v>
      </c>
      <c r="H41" s="40">
        <v>4.8302786011409439E-4</v>
      </c>
      <c r="I41" s="40">
        <v>1.4367675830370947</v>
      </c>
      <c r="J41" s="59">
        <v>0</v>
      </c>
      <c r="K41" s="59">
        <v>4011.0154077410698</v>
      </c>
      <c r="L41" s="59">
        <v>0</v>
      </c>
      <c r="M41" s="11">
        <v>0.83198750019073486</v>
      </c>
      <c r="N41" s="11">
        <v>0.81761693954467773</v>
      </c>
      <c r="O41" s="11">
        <v>0.31384670734405518</v>
      </c>
      <c r="Q41" s="59">
        <v>14.210021990250473</v>
      </c>
      <c r="R41" s="78">
        <v>482.76078691707426</v>
      </c>
      <c r="S41" s="78">
        <v>14.230709989872947</v>
      </c>
      <c r="T41" s="78">
        <v>607.85117214254035</v>
      </c>
      <c r="U41" s="78">
        <v>2.0687999622474251E-2</v>
      </c>
      <c r="V41" s="78">
        <v>125.09038522546609</v>
      </c>
      <c r="X41" s="28">
        <f t="shared" si="4"/>
        <v>30779.287591633965</v>
      </c>
      <c r="Y41" s="28">
        <f t="shared" si="5"/>
        <v>30699.710805577943</v>
      </c>
      <c r="Z41" s="28">
        <f t="shared" si="0"/>
        <v>-79.57678605602274</v>
      </c>
      <c r="AB41">
        <f t="shared" si="6"/>
        <v>1</v>
      </c>
      <c r="AC41">
        <f t="shared" si="7"/>
        <v>0</v>
      </c>
      <c r="AD41">
        <f t="shared" si="1"/>
        <v>0</v>
      </c>
      <c r="AF41">
        <v>22000</v>
      </c>
      <c r="AG41">
        <v>0</v>
      </c>
      <c r="AH41">
        <v>1</v>
      </c>
      <c r="AI41">
        <v>1</v>
      </c>
      <c r="AK41" s="28">
        <f t="shared" si="2"/>
        <v>30779.287591633965</v>
      </c>
      <c r="AP41">
        <v>22000</v>
      </c>
      <c r="AQ41" s="28">
        <v>0</v>
      </c>
      <c r="AS41" s="28"/>
      <c r="AT41" s="28"/>
      <c r="AU41" s="28"/>
    </row>
    <row r="42" spans="1:47" x14ac:dyDescent="0.15">
      <c r="A42">
        <v>37</v>
      </c>
      <c r="C42" s="11">
        <v>2.1870449185371399E-2</v>
      </c>
      <c r="D42" s="11">
        <v>5.9042125940322876E-3</v>
      </c>
      <c r="E42" s="11">
        <v>0.28158053433924024</v>
      </c>
      <c r="F42" s="11">
        <v>0</v>
      </c>
      <c r="G42" s="11">
        <v>6.0005426406860352E-2</v>
      </c>
      <c r="H42" s="40">
        <v>4.0327307043108907E-4</v>
      </c>
      <c r="I42" s="40">
        <v>1.4323697540871867</v>
      </c>
      <c r="J42" s="59">
        <v>0</v>
      </c>
      <c r="K42" s="59">
        <v>5251.1156536638737</v>
      </c>
      <c r="L42" s="59">
        <v>0</v>
      </c>
      <c r="M42" s="11">
        <v>0.8409995436668396</v>
      </c>
      <c r="N42" s="11">
        <v>0.7317192554473877</v>
      </c>
      <c r="O42" s="11">
        <v>0.27739471197128296</v>
      </c>
      <c r="Q42" s="59">
        <v>14.478399421224339</v>
      </c>
      <c r="R42" s="78">
        <v>502.09939450268496</v>
      </c>
      <c r="S42" s="78">
        <v>14.515403406550483</v>
      </c>
      <c r="T42" s="78">
        <v>609.77759711075862</v>
      </c>
      <c r="U42" s="78">
        <v>3.7003985326144573E-2</v>
      </c>
      <c r="V42" s="78">
        <v>107.67820260807366</v>
      </c>
      <c r="X42" s="28">
        <f t="shared" si="4"/>
        <v>31350.37933219086</v>
      </c>
      <c r="Y42" s="28">
        <f t="shared" si="5"/>
        <v>31324.109897300303</v>
      </c>
      <c r="Z42" s="28">
        <f t="shared" si="0"/>
        <v>-26.269434890555601</v>
      </c>
      <c r="AB42">
        <f t="shared" si="6"/>
        <v>1</v>
      </c>
      <c r="AC42">
        <f t="shared" si="7"/>
        <v>0</v>
      </c>
      <c r="AD42">
        <f t="shared" si="1"/>
        <v>0</v>
      </c>
      <c r="AF42">
        <v>23000</v>
      </c>
      <c r="AG42">
        <v>0</v>
      </c>
      <c r="AH42">
        <v>1</v>
      </c>
      <c r="AI42">
        <v>1</v>
      </c>
      <c r="AK42" s="28">
        <f t="shared" si="2"/>
        <v>31350.37933219086</v>
      </c>
      <c r="AP42">
        <v>23000</v>
      </c>
      <c r="AQ42" s="28">
        <v>0</v>
      </c>
      <c r="AS42" s="28"/>
      <c r="AT42" s="28"/>
      <c r="AU42" s="28"/>
    </row>
    <row r="43" spans="1:47" x14ac:dyDescent="0.15">
      <c r="A43">
        <v>38</v>
      </c>
      <c r="C43" s="11">
        <v>8.620038628578186E-3</v>
      </c>
      <c r="D43" s="11">
        <v>1.9602537155151367E-2</v>
      </c>
      <c r="E43" s="11">
        <v>0.33544822517613809</v>
      </c>
      <c r="F43" s="11">
        <v>0</v>
      </c>
      <c r="G43" s="11">
        <v>6.6758155822753906E-2</v>
      </c>
      <c r="H43" s="40">
        <v>4.5718485804554148E-4</v>
      </c>
      <c r="I43" s="40">
        <v>1.6124710347899747</v>
      </c>
      <c r="J43" s="59">
        <v>0</v>
      </c>
      <c r="K43" s="59">
        <v>2594.0965861082077</v>
      </c>
      <c r="L43" s="59">
        <v>0</v>
      </c>
      <c r="M43" s="11">
        <v>0.82748115062713623</v>
      </c>
      <c r="N43" s="11">
        <v>0.78102308511734009</v>
      </c>
      <c r="O43" s="11">
        <v>0.28829047083854675</v>
      </c>
      <c r="Q43" s="59">
        <v>14.411664191125395</v>
      </c>
      <c r="R43" s="78">
        <v>498.60029943489053</v>
      </c>
      <c r="S43" s="78">
        <v>14.463205726095813</v>
      </c>
      <c r="T43" s="78">
        <v>614.85067380778412</v>
      </c>
      <c r="U43" s="78">
        <v>5.1541534970418468E-2</v>
      </c>
      <c r="V43" s="78">
        <v>116.25037437289359</v>
      </c>
      <c r="X43" s="28">
        <f t="shared" si="4"/>
        <v>31207.060921040978</v>
      </c>
      <c r="Y43" s="28">
        <f t="shared" si="5"/>
        <v>31204.201923603003</v>
      </c>
      <c r="Z43" s="28">
        <f t="shared" si="0"/>
        <v>-2.8589974379729597</v>
      </c>
      <c r="AB43">
        <f t="shared" si="6"/>
        <v>1</v>
      </c>
      <c r="AC43">
        <f t="shared" si="7"/>
        <v>0</v>
      </c>
      <c r="AD43">
        <f t="shared" si="1"/>
        <v>0</v>
      </c>
      <c r="AF43">
        <v>24000</v>
      </c>
      <c r="AG43">
        <v>0</v>
      </c>
      <c r="AH43">
        <v>1</v>
      </c>
      <c r="AI43">
        <v>1</v>
      </c>
      <c r="AK43" s="28">
        <f t="shared" si="2"/>
        <v>31207.060921040978</v>
      </c>
      <c r="AP43">
        <v>24000</v>
      </c>
      <c r="AQ43" s="28">
        <v>0</v>
      </c>
      <c r="AS43" s="28"/>
      <c r="AT43" s="28"/>
      <c r="AU43" s="28"/>
    </row>
    <row r="44" spans="1:47" x14ac:dyDescent="0.15">
      <c r="A44">
        <v>39</v>
      </c>
      <c r="C44" s="11">
        <v>2.9572129249572754E-2</v>
      </c>
      <c r="D44" s="11">
        <v>1.0030075907707214E-2</v>
      </c>
      <c r="E44" s="11">
        <v>0.30435621168105736</v>
      </c>
      <c r="F44" s="11">
        <v>0</v>
      </c>
      <c r="G44" s="11">
        <v>3.1927734613418579E-2</v>
      </c>
      <c r="H44" s="40">
        <v>5.3704433285635584E-4</v>
      </c>
      <c r="I44" s="40">
        <v>1.5347448138691955</v>
      </c>
      <c r="J44" s="59">
        <v>0</v>
      </c>
      <c r="K44" s="59">
        <v>6187.8561973571777</v>
      </c>
      <c r="L44" s="59">
        <v>0</v>
      </c>
      <c r="M44" s="11">
        <v>0.85336112976074219</v>
      </c>
      <c r="N44" s="11">
        <v>0.69973301887512207</v>
      </c>
      <c r="O44" s="11">
        <v>0.35440278053283691</v>
      </c>
      <c r="Q44" s="59">
        <v>14.524234878673392</v>
      </c>
      <c r="R44" s="78">
        <v>588.82056611909763</v>
      </c>
      <c r="S44" s="78">
        <v>14.595429005149114</v>
      </c>
      <c r="T44" s="78">
        <v>639.54064139761749</v>
      </c>
      <c r="U44" s="78">
        <v>7.1194126475722541E-2</v>
      </c>
      <c r="V44" s="78">
        <v>50.720075278519857</v>
      </c>
      <c r="X44" s="28">
        <f t="shared" si="4"/>
        <v>31364.496166962363</v>
      </c>
      <c r="Y44" s="28">
        <f t="shared" si="5"/>
        <v>31470.403169930436</v>
      </c>
      <c r="Z44" s="28">
        <f t="shared" si="0"/>
        <v>105.90700296806972</v>
      </c>
      <c r="AB44">
        <f t="shared" si="6"/>
        <v>0</v>
      </c>
      <c r="AC44">
        <f t="shared" si="7"/>
        <v>1</v>
      </c>
      <c r="AD44">
        <f t="shared" si="1"/>
        <v>1</v>
      </c>
      <c r="AF44">
        <v>25000</v>
      </c>
      <c r="AG44">
        <v>0</v>
      </c>
      <c r="AH44">
        <v>1</v>
      </c>
      <c r="AI44">
        <v>1</v>
      </c>
      <c r="AK44" s="28">
        <f t="shared" si="2"/>
        <v>31470.403169930436</v>
      </c>
      <c r="AP44">
        <v>25000</v>
      </c>
      <c r="AQ44" s="28">
        <v>0</v>
      </c>
      <c r="AS44" s="28"/>
      <c r="AT44" s="28"/>
      <c r="AU44" s="28"/>
    </row>
    <row r="45" spans="1:47" x14ac:dyDescent="0.15">
      <c r="A45">
        <v>40</v>
      </c>
      <c r="C45" s="11">
        <v>2.9183924198150635E-3</v>
      </c>
      <c r="D45" s="11">
        <v>3.0219346284866333E-2</v>
      </c>
      <c r="E45" s="11">
        <v>0.16664718672298476</v>
      </c>
      <c r="F45" s="11">
        <v>0</v>
      </c>
      <c r="G45" s="11">
        <v>2.6109367609024048E-2</v>
      </c>
      <c r="H45" s="40">
        <v>6.4652611800987739E-4</v>
      </c>
      <c r="I45" s="40">
        <v>1.4380447473075517</v>
      </c>
      <c r="J45" s="59">
        <v>0</v>
      </c>
      <c r="K45" s="59">
        <v>5659.8475202918053</v>
      </c>
      <c r="L45" s="59">
        <v>0</v>
      </c>
      <c r="M45" s="11">
        <v>0.88472467660903931</v>
      </c>
      <c r="N45" s="11">
        <v>0.74553459882736206</v>
      </c>
      <c r="O45" s="11">
        <v>0.33542966842651367</v>
      </c>
      <c r="Q45" s="59">
        <v>15.481929319885818</v>
      </c>
      <c r="R45" s="78">
        <v>554.61629545691312</v>
      </c>
      <c r="S45" s="78">
        <v>15.564744053846079</v>
      </c>
      <c r="T45" s="78">
        <v>606.35091184736439</v>
      </c>
      <c r="U45" s="78">
        <v>8.2814733960260511E-2</v>
      </c>
      <c r="V45" s="78">
        <v>51.734616390451265</v>
      </c>
      <c r="X45" s="28">
        <f t="shared" si="4"/>
        <v>33505.628208291884</v>
      </c>
      <c r="Y45" s="28">
        <f t="shared" si="5"/>
        <v>33636.086006614009</v>
      </c>
      <c r="Z45" s="28">
        <f t="shared" si="0"/>
        <v>130.45779832212185</v>
      </c>
      <c r="AB45">
        <f t="shared" si="6"/>
        <v>0</v>
      </c>
      <c r="AC45">
        <f t="shared" si="7"/>
        <v>1</v>
      </c>
      <c r="AD45">
        <f t="shared" si="1"/>
        <v>1</v>
      </c>
      <c r="AF45">
        <v>26000</v>
      </c>
      <c r="AG45">
        <v>0</v>
      </c>
      <c r="AH45">
        <v>1</v>
      </c>
      <c r="AI45">
        <v>1</v>
      </c>
      <c r="AK45" s="28">
        <f t="shared" si="2"/>
        <v>33636.086006614009</v>
      </c>
      <c r="AP45">
        <v>26000</v>
      </c>
      <c r="AQ45" s="28">
        <v>0</v>
      </c>
      <c r="AS45" s="28"/>
      <c r="AT45" s="28"/>
      <c r="AU45" s="28"/>
    </row>
    <row r="46" spans="1:47" x14ac:dyDescent="0.15">
      <c r="A46">
        <v>41</v>
      </c>
      <c r="C46" s="11">
        <v>1.5132278203964233E-2</v>
      </c>
      <c r="D46" s="11">
        <v>1.9588768482208252E-2</v>
      </c>
      <c r="E46" s="11">
        <v>0.30933776508664396</v>
      </c>
      <c r="F46" s="11">
        <v>0</v>
      </c>
      <c r="G46" s="11">
        <v>3.7257552146911621E-2</v>
      </c>
      <c r="H46" s="40">
        <v>4.7689945402498897E-4</v>
      </c>
      <c r="I46" s="40">
        <v>1.5329823768184323</v>
      </c>
      <c r="J46" s="59">
        <v>0</v>
      </c>
      <c r="K46" s="59">
        <v>4743.2142309844494</v>
      </c>
      <c r="L46" s="59">
        <v>0</v>
      </c>
      <c r="M46" s="11">
        <v>0.81701022386550903</v>
      </c>
      <c r="N46" s="11">
        <v>0.70747900009155273</v>
      </c>
      <c r="O46" s="11">
        <v>0.2437131404876709</v>
      </c>
      <c r="Q46" s="59">
        <v>14.128656438280689</v>
      </c>
      <c r="R46" s="78">
        <v>531.85980803000575</v>
      </c>
      <c r="S46" s="78">
        <v>14.186313297834198</v>
      </c>
      <c r="T46" s="78">
        <v>622.42691957386967</v>
      </c>
      <c r="U46" s="78">
        <v>5.7656859553508966E-2</v>
      </c>
      <c r="V46" s="78">
        <v>90.567111543863916</v>
      </c>
      <c r="X46" s="28">
        <f t="shared" si="4"/>
        <v>30551.18435618751</v>
      </c>
      <c r="Y46" s="28">
        <f t="shared" si="5"/>
        <v>30587.462335661367</v>
      </c>
      <c r="Z46" s="28">
        <f t="shared" si="0"/>
        <v>36.277979473855808</v>
      </c>
      <c r="AB46">
        <f t="shared" si="6"/>
        <v>0</v>
      </c>
      <c r="AC46">
        <f t="shared" si="7"/>
        <v>1</v>
      </c>
      <c r="AD46">
        <f t="shared" si="1"/>
        <v>1</v>
      </c>
      <c r="AF46">
        <v>27000</v>
      </c>
      <c r="AG46">
        <v>0</v>
      </c>
      <c r="AH46">
        <v>1</v>
      </c>
      <c r="AI46">
        <v>1</v>
      </c>
      <c r="AK46" s="28">
        <f t="shared" si="2"/>
        <v>30587.462335661367</v>
      </c>
      <c r="AP46">
        <v>27000</v>
      </c>
      <c r="AQ46" s="28">
        <v>0</v>
      </c>
      <c r="AS46" s="28"/>
      <c r="AT46" s="28"/>
      <c r="AU46" s="28"/>
    </row>
    <row r="47" spans="1:47" x14ac:dyDescent="0.15">
      <c r="A47">
        <v>42</v>
      </c>
      <c r="C47" s="11">
        <v>2.5427043437957764E-2</v>
      </c>
      <c r="D47" s="11">
        <v>1.3239935040473938E-2</v>
      </c>
      <c r="E47" s="11">
        <v>0.25954383763969557</v>
      </c>
      <c r="F47" s="11">
        <v>0</v>
      </c>
      <c r="G47" s="11">
        <v>2.6183068752288818E-2</v>
      </c>
      <c r="H47" s="40">
        <v>4.5352414022593039E-4</v>
      </c>
      <c r="I47" s="40">
        <v>1.4096396091782528</v>
      </c>
      <c r="J47" s="59">
        <v>0</v>
      </c>
      <c r="K47" s="59">
        <v>4605.734720826149</v>
      </c>
      <c r="L47" s="59">
        <v>0</v>
      </c>
      <c r="M47" s="11">
        <v>0.82921361923217773</v>
      </c>
      <c r="N47" s="11">
        <v>0.64664649963378906</v>
      </c>
      <c r="O47" s="11">
        <v>0.27452254295349121</v>
      </c>
      <c r="Q47" s="59">
        <v>14.203864316372275</v>
      </c>
      <c r="R47" s="78">
        <v>477.50568749198806</v>
      </c>
      <c r="S47" s="78">
        <v>14.255879999839081</v>
      </c>
      <c r="T47" s="78">
        <v>600.94024618893491</v>
      </c>
      <c r="U47" s="78">
        <v>5.201568346680574E-2</v>
      </c>
      <c r="V47" s="78">
        <v>123.43455869694685</v>
      </c>
      <c r="X47" s="28">
        <f t="shared" si="4"/>
        <v>30770.995808527019</v>
      </c>
      <c r="Y47" s="28">
        <f t="shared" si="5"/>
        <v>30761.995753457042</v>
      </c>
      <c r="Z47" s="28">
        <f t="shared" si="0"/>
        <v>-9.0000550699742234</v>
      </c>
      <c r="AB47">
        <f t="shared" si="6"/>
        <v>1</v>
      </c>
      <c r="AC47">
        <f t="shared" si="7"/>
        <v>0</v>
      </c>
      <c r="AD47">
        <f t="shared" si="1"/>
        <v>0</v>
      </c>
      <c r="AF47">
        <v>28000</v>
      </c>
      <c r="AG47">
        <v>0</v>
      </c>
      <c r="AH47">
        <v>1</v>
      </c>
      <c r="AI47">
        <v>1</v>
      </c>
      <c r="AK47" s="28">
        <f t="shared" si="2"/>
        <v>30770.995808527019</v>
      </c>
      <c r="AP47">
        <v>28000</v>
      </c>
      <c r="AQ47" s="28">
        <v>0</v>
      </c>
      <c r="AS47" s="28"/>
      <c r="AT47" s="28"/>
      <c r="AU47" s="28"/>
    </row>
    <row r="48" spans="1:47" x14ac:dyDescent="0.15">
      <c r="A48">
        <v>43</v>
      </c>
      <c r="C48" s="11">
        <v>3.7684202194213867E-2</v>
      </c>
      <c r="D48" s="11">
        <v>1.3358995318412781E-2</v>
      </c>
      <c r="E48" s="11">
        <v>0.29953361909042842</v>
      </c>
      <c r="F48" s="11">
        <v>0</v>
      </c>
      <c r="G48" s="11">
        <v>4.7553181648254395E-2</v>
      </c>
      <c r="H48" s="40">
        <v>4.7726969304520852E-4</v>
      </c>
      <c r="I48" s="40">
        <v>1.4527375405885019</v>
      </c>
      <c r="J48" s="59">
        <v>0</v>
      </c>
      <c r="K48" s="59">
        <v>7487.3678386211395</v>
      </c>
      <c r="L48" s="59">
        <v>0</v>
      </c>
      <c r="M48" s="11">
        <v>0.82255178689956665</v>
      </c>
      <c r="N48" s="11">
        <v>0.75499379634857178</v>
      </c>
      <c r="O48" s="11">
        <v>0.32550966739654541</v>
      </c>
      <c r="Q48" s="59">
        <v>13.932995808492812</v>
      </c>
      <c r="R48" s="78">
        <v>572.45055405963558</v>
      </c>
      <c r="S48" s="78">
        <v>13.966859960065365</v>
      </c>
      <c r="T48" s="78">
        <v>633.19644626746947</v>
      </c>
      <c r="U48" s="78">
        <v>3.386415157255307E-2</v>
      </c>
      <c r="V48" s="78">
        <v>60.74589220783389</v>
      </c>
      <c r="X48" s="28">
        <f t="shared" si="4"/>
        <v>30080.140224624549</v>
      </c>
      <c r="Y48" s="28">
        <f t="shared" si="5"/>
        <v>30093.895465876336</v>
      </c>
      <c r="Z48" s="28">
        <f t="shared" si="0"/>
        <v>13.755241251782863</v>
      </c>
      <c r="AB48">
        <f t="shared" si="6"/>
        <v>0</v>
      </c>
      <c r="AC48">
        <f t="shared" si="7"/>
        <v>1</v>
      </c>
      <c r="AD48">
        <f t="shared" si="1"/>
        <v>1</v>
      </c>
      <c r="AF48">
        <v>29000</v>
      </c>
      <c r="AG48">
        <v>0</v>
      </c>
      <c r="AH48">
        <v>1</v>
      </c>
      <c r="AI48">
        <v>1</v>
      </c>
      <c r="AK48" s="28">
        <f t="shared" si="2"/>
        <v>30093.895465876336</v>
      </c>
      <c r="AP48">
        <v>29000</v>
      </c>
      <c r="AQ48" s="28">
        <v>0</v>
      </c>
      <c r="AS48" s="28"/>
      <c r="AT48" s="28"/>
      <c r="AU48" s="28"/>
    </row>
    <row r="49" spans="1:47" x14ac:dyDescent="0.15">
      <c r="A49">
        <v>44</v>
      </c>
      <c r="C49" s="11">
        <v>4.7840327024459839E-3</v>
      </c>
      <c r="D49" s="11">
        <v>1.9286632537841797E-2</v>
      </c>
      <c r="E49" s="11">
        <v>0.24701909705570399</v>
      </c>
      <c r="F49" s="11">
        <v>0</v>
      </c>
      <c r="G49" s="11">
        <v>3.7825554609298706E-2</v>
      </c>
      <c r="H49" s="40">
        <v>5.1744171846409724E-4</v>
      </c>
      <c r="I49" s="40">
        <v>1.3642132448379838</v>
      </c>
      <c r="J49" s="59">
        <v>0</v>
      </c>
      <c r="K49" s="59">
        <v>5648.2548825442791</v>
      </c>
      <c r="L49" s="59">
        <v>0</v>
      </c>
      <c r="M49" s="11">
        <v>0.86004364490509033</v>
      </c>
      <c r="N49" s="11">
        <v>0.73668700456619263</v>
      </c>
      <c r="O49" s="11">
        <v>0.34382069110870361</v>
      </c>
      <c r="Q49" s="59">
        <v>15.060976938765904</v>
      </c>
      <c r="R49" s="78">
        <v>505.17281650425508</v>
      </c>
      <c r="S49" s="78">
        <v>15.104299279428858</v>
      </c>
      <c r="T49" s="78">
        <v>606.79278171304065</v>
      </c>
      <c r="U49" s="78">
        <v>4.3322340662953707E-2</v>
      </c>
      <c r="V49" s="78">
        <v>101.61996520878557</v>
      </c>
      <c r="X49" s="28">
        <f t="shared" si="4"/>
        <v>32628.976448780737</v>
      </c>
      <c r="Y49" s="28">
        <f t="shared" si="5"/>
        <v>32622.665633030447</v>
      </c>
      <c r="Z49" s="28">
        <f t="shared" si="0"/>
        <v>-6.3108157502874178</v>
      </c>
      <c r="AB49">
        <f t="shared" si="6"/>
        <v>1</v>
      </c>
      <c r="AC49">
        <f t="shared" si="7"/>
        <v>0</v>
      </c>
      <c r="AD49">
        <f t="shared" si="1"/>
        <v>0</v>
      </c>
      <c r="AF49">
        <v>30000</v>
      </c>
      <c r="AG49">
        <v>0</v>
      </c>
      <c r="AH49">
        <v>1</v>
      </c>
      <c r="AI49">
        <v>1</v>
      </c>
      <c r="AK49" s="28">
        <f t="shared" si="2"/>
        <v>32628.976448780737</v>
      </c>
      <c r="AP49">
        <v>30000</v>
      </c>
      <c r="AQ49" s="28">
        <v>0</v>
      </c>
      <c r="AS49" s="28"/>
      <c r="AT49" s="28"/>
      <c r="AU49" s="28"/>
    </row>
    <row r="50" spans="1:47" x14ac:dyDescent="0.15">
      <c r="A50">
        <v>45</v>
      </c>
      <c r="C50" s="11">
        <v>1.1848419904708862E-2</v>
      </c>
      <c r="D50" s="11">
        <v>1.133553683757782E-2</v>
      </c>
      <c r="E50" s="11">
        <v>8.2441813531163727E-2</v>
      </c>
      <c r="F50" s="11">
        <v>0</v>
      </c>
      <c r="G50" s="11">
        <v>6.3227295875549316E-2</v>
      </c>
      <c r="H50" s="40">
        <v>5.0318347078714043E-4</v>
      </c>
      <c r="I50" s="40">
        <v>1.4061939388808931</v>
      </c>
      <c r="J50" s="59">
        <v>0</v>
      </c>
      <c r="K50" s="59">
        <v>6138.2190324366093</v>
      </c>
      <c r="L50" s="59">
        <v>0</v>
      </c>
      <c r="M50" s="11">
        <v>0.85429388284683228</v>
      </c>
      <c r="N50" s="11">
        <v>0.65790748596191406</v>
      </c>
      <c r="O50" s="11">
        <v>0.26600110530853271</v>
      </c>
      <c r="Q50" s="59">
        <v>14.823209808594974</v>
      </c>
      <c r="R50" s="78">
        <v>543.07287544252631</v>
      </c>
      <c r="S50" s="78">
        <v>14.903714855234936</v>
      </c>
      <c r="T50" s="78">
        <v>591.48904200654022</v>
      </c>
      <c r="U50" s="78">
        <v>8.0505046639961719E-2</v>
      </c>
      <c r="V50" s="78">
        <v>48.416166564013906</v>
      </c>
      <c r="X50" s="28">
        <f t="shared" si="4"/>
        <v>32067.988703466417</v>
      </c>
      <c r="Y50" s="28">
        <f t="shared" si="5"/>
        <v>32196.68363951032</v>
      </c>
      <c r="Z50" s="28">
        <f t="shared" si="0"/>
        <v>128.69493604390186</v>
      </c>
      <c r="AB50">
        <f t="shared" si="6"/>
        <v>0</v>
      </c>
      <c r="AC50">
        <f t="shared" si="7"/>
        <v>1</v>
      </c>
      <c r="AD50">
        <f t="shared" si="1"/>
        <v>1</v>
      </c>
      <c r="AF50">
        <v>35000</v>
      </c>
      <c r="AG50">
        <v>0</v>
      </c>
      <c r="AH50">
        <v>1</v>
      </c>
      <c r="AI50">
        <v>1</v>
      </c>
      <c r="AK50" s="28">
        <f t="shared" si="2"/>
        <v>32196.68363951032</v>
      </c>
      <c r="AP50">
        <v>35000</v>
      </c>
      <c r="AQ50" s="28">
        <v>0</v>
      </c>
      <c r="AS50" s="28"/>
      <c r="AT50" s="28"/>
      <c r="AU50" s="28"/>
    </row>
    <row r="51" spans="1:47" x14ac:dyDescent="0.15">
      <c r="A51">
        <v>46</v>
      </c>
      <c r="C51" s="11">
        <v>1.6178488731384277E-3</v>
      </c>
      <c r="D51" s="11">
        <v>2.005980908870697E-2</v>
      </c>
      <c r="E51" s="11">
        <v>8.9379659557318553E-2</v>
      </c>
      <c r="F51" s="11">
        <v>0</v>
      </c>
      <c r="G51" s="11">
        <v>6.1585366725921631E-2</v>
      </c>
      <c r="H51" s="40">
        <v>3.8830668012543686E-4</v>
      </c>
      <c r="I51" s="40">
        <v>1.4996351062152147</v>
      </c>
      <c r="J51" s="59">
        <v>0</v>
      </c>
      <c r="K51" s="59">
        <v>3963.4248241782188</v>
      </c>
      <c r="L51" s="59">
        <v>0</v>
      </c>
      <c r="M51" s="11">
        <v>0.83858981728553772</v>
      </c>
      <c r="N51" s="11">
        <v>0.75808858871459961</v>
      </c>
      <c r="O51" s="11">
        <v>0.30672836303710938</v>
      </c>
      <c r="Q51" s="59">
        <v>14.731371482390051</v>
      </c>
      <c r="R51" s="78">
        <v>491.4006373869513</v>
      </c>
      <c r="S51" s="78">
        <v>14.783318217890722</v>
      </c>
      <c r="T51" s="78">
        <v>587.85569676495265</v>
      </c>
      <c r="U51" s="78">
        <v>5.1946735500671082E-2</v>
      </c>
      <c r="V51" s="78">
        <v>96.455059378001351</v>
      </c>
      <c r="X51" s="28">
        <f t="shared" si="4"/>
        <v>31917.616623871159</v>
      </c>
      <c r="Y51" s="28">
        <f t="shared" si="5"/>
        <v>31935.444382594636</v>
      </c>
      <c r="Z51" s="28">
        <f t="shared" si="0"/>
        <v>17.827758723475029</v>
      </c>
      <c r="AB51">
        <f t="shared" si="6"/>
        <v>0</v>
      </c>
      <c r="AC51">
        <f t="shared" si="7"/>
        <v>1</v>
      </c>
      <c r="AD51">
        <f t="shared" si="1"/>
        <v>1</v>
      </c>
      <c r="AF51">
        <v>40000</v>
      </c>
      <c r="AG51">
        <v>0</v>
      </c>
      <c r="AH51">
        <v>1</v>
      </c>
      <c r="AI51">
        <v>1</v>
      </c>
      <c r="AK51" s="28">
        <f t="shared" si="2"/>
        <v>31935.444382594636</v>
      </c>
      <c r="AP51">
        <v>40000</v>
      </c>
      <c r="AQ51" s="28">
        <v>0</v>
      </c>
      <c r="AS51" s="28"/>
      <c r="AT51" s="28"/>
      <c r="AU51" s="28"/>
    </row>
    <row r="52" spans="1:47" x14ac:dyDescent="0.15">
      <c r="A52">
        <v>47</v>
      </c>
      <c r="C52" s="11">
        <v>5.3793042898178101E-3</v>
      </c>
      <c r="D52" s="11">
        <v>5.0528287887573242E-2</v>
      </c>
      <c r="E52" s="11">
        <v>0.15641959986272644</v>
      </c>
      <c r="F52" s="11">
        <v>0</v>
      </c>
      <c r="G52" s="11">
        <v>0.10258102416992188</v>
      </c>
      <c r="H52" s="40">
        <v>3.8061328937372466E-4</v>
      </c>
      <c r="I52" s="40">
        <v>1.4411660093184255</v>
      </c>
      <c r="J52" s="59">
        <v>0</v>
      </c>
      <c r="K52" s="59">
        <v>5558.5498921573162</v>
      </c>
      <c r="L52" s="59">
        <v>0</v>
      </c>
      <c r="M52" s="11">
        <v>0.9017176628112793</v>
      </c>
      <c r="N52" s="11">
        <v>0.73115289211273193</v>
      </c>
      <c r="O52" s="11">
        <v>0.31452703475952148</v>
      </c>
      <c r="Q52" s="59">
        <v>15.757548818046015</v>
      </c>
      <c r="R52" s="78">
        <v>523.85962150411535</v>
      </c>
      <c r="S52" s="78">
        <v>15.828499222969898</v>
      </c>
      <c r="T52" s="78">
        <v>599.56578813429041</v>
      </c>
      <c r="U52" s="78">
        <v>7.0950404923882715E-2</v>
      </c>
      <c r="V52" s="78">
        <v>75.706166630175062</v>
      </c>
      <c r="X52" s="28">
        <f t="shared" si="4"/>
        <v>34142.747778197117</v>
      </c>
      <c r="Y52" s="28">
        <f t="shared" si="5"/>
        <v>34223.13250239948</v>
      </c>
      <c r="Z52" s="28">
        <f t="shared" si="0"/>
        <v>80.384724202366897</v>
      </c>
      <c r="AB52">
        <f t="shared" si="6"/>
        <v>0</v>
      </c>
      <c r="AC52">
        <f t="shared" si="7"/>
        <v>1</v>
      </c>
      <c r="AD52">
        <f t="shared" si="1"/>
        <v>1</v>
      </c>
      <c r="AF52">
        <v>45000</v>
      </c>
      <c r="AG52">
        <v>0</v>
      </c>
      <c r="AH52">
        <v>1</v>
      </c>
      <c r="AI52">
        <v>1</v>
      </c>
      <c r="AK52" s="28">
        <f t="shared" si="2"/>
        <v>34223.13250239948</v>
      </c>
      <c r="AP52">
        <v>45000</v>
      </c>
      <c r="AQ52" s="28">
        <v>0</v>
      </c>
      <c r="AS52" s="28"/>
      <c r="AT52" s="28"/>
      <c r="AU52" s="28"/>
    </row>
    <row r="53" spans="1:47" x14ac:dyDescent="0.15">
      <c r="A53">
        <v>48</v>
      </c>
      <c r="C53" s="11">
        <v>2.2186011075973511E-2</v>
      </c>
      <c r="D53" s="11">
        <v>3.0719935894012451E-3</v>
      </c>
      <c r="E53" s="11">
        <v>0.16435458386099813</v>
      </c>
      <c r="F53" s="11">
        <v>0</v>
      </c>
      <c r="G53" s="11">
        <v>5.0578206777572632E-2</v>
      </c>
      <c r="H53" s="40">
        <v>3.0316256553536869E-4</v>
      </c>
      <c r="I53" s="40">
        <v>1.6283955471525229</v>
      </c>
      <c r="J53" s="59">
        <v>0</v>
      </c>
      <c r="K53" s="59">
        <v>6699.8228430747986</v>
      </c>
      <c r="L53" s="59">
        <v>0</v>
      </c>
      <c r="M53" s="11">
        <v>0.84770876169204712</v>
      </c>
      <c r="N53" s="11">
        <v>0.78358328342437744</v>
      </c>
      <c r="O53" s="11">
        <v>0.30458015203475952</v>
      </c>
      <c r="Q53" s="59">
        <v>14.589654602811679</v>
      </c>
      <c r="R53" s="78">
        <v>569.11099519397101</v>
      </c>
      <c r="S53" s="78">
        <v>14.632662111224439</v>
      </c>
      <c r="T53" s="78">
        <v>608.34286350597006</v>
      </c>
      <c r="U53" s="78">
        <v>4.3007508412760131E-2</v>
      </c>
      <c r="V53" s="78">
        <v>39.231868311999051</v>
      </c>
      <c r="X53" s="28">
        <f t="shared" si="4"/>
        <v>31528.129130991721</v>
      </c>
      <c r="Y53" s="28">
        <f t="shared" si="5"/>
        <v>31583.513781187794</v>
      </c>
      <c r="Z53" s="28">
        <f t="shared" si="0"/>
        <v>55.384650196073238</v>
      </c>
      <c r="AB53">
        <f t="shared" si="6"/>
        <v>0</v>
      </c>
      <c r="AC53">
        <f t="shared" si="7"/>
        <v>1</v>
      </c>
      <c r="AD53">
        <f t="shared" si="1"/>
        <v>1</v>
      </c>
      <c r="AF53">
        <v>50000</v>
      </c>
      <c r="AG53">
        <v>0</v>
      </c>
      <c r="AH53">
        <v>1</v>
      </c>
      <c r="AI53">
        <v>1</v>
      </c>
      <c r="AK53" s="28">
        <f t="shared" si="2"/>
        <v>31583.513781187794</v>
      </c>
      <c r="AP53">
        <v>50000</v>
      </c>
      <c r="AQ53" s="28">
        <v>0</v>
      </c>
      <c r="AS53" s="28"/>
      <c r="AT53" s="28"/>
      <c r="AU53" s="28"/>
    </row>
    <row r="54" spans="1:47" x14ac:dyDescent="0.15">
      <c r="A54">
        <v>49</v>
      </c>
      <c r="C54" s="11">
        <v>1.8450111150741577E-2</v>
      </c>
      <c r="D54" s="11">
        <v>9.4752311706542969E-3</v>
      </c>
      <c r="E54" s="11">
        <v>0.15956106960983876</v>
      </c>
      <c r="F54" s="11">
        <v>0</v>
      </c>
      <c r="G54" s="11">
        <v>3.6511778831481934E-2</v>
      </c>
      <c r="H54" s="40">
        <v>5.6511725992563285E-4</v>
      </c>
      <c r="I54" s="40">
        <v>1.4396236365820829</v>
      </c>
      <c r="J54" s="59">
        <v>0</v>
      </c>
      <c r="K54" s="59">
        <v>5625.4048831760883</v>
      </c>
      <c r="L54" s="59">
        <v>0</v>
      </c>
      <c r="M54" s="11">
        <v>0.86376655101776123</v>
      </c>
      <c r="N54" s="11">
        <v>0.76033753156661987</v>
      </c>
      <c r="O54" s="11">
        <v>0.25713860988616943</v>
      </c>
      <c r="Q54" s="59">
        <v>14.904154876261348</v>
      </c>
      <c r="R54" s="78">
        <v>541.12975495522721</v>
      </c>
      <c r="S54" s="78">
        <v>14.964036869426844</v>
      </c>
      <c r="T54" s="78">
        <v>602.92555142965205</v>
      </c>
      <c r="U54" s="78">
        <v>5.9881993165495473E-2</v>
      </c>
      <c r="V54" s="78">
        <v>61.795796474424833</v>
      </c>
      <c r="X54" s="28">
        <f t="shared" si="4"/>
        <v>32248.010972819742</v>
      </c>
      <c r="Y54" s="28">
        <f t="shared" si="5"/>
        <v>32317.955561309405</v>
      </c>
      <c r="Z54" s="28">
        <f t="shared" si="0"/>
        <v>69.944588489665193</v>
      </c>
      <c r="AB54">
        <f t="shared" si="6"/>
        <v>0</v>
      </c>
      <c r="AC54">
        <f t="shared" si="7"/>
        <v>1</v>
      </c>
      <c r="AD54">
        <f t="shared" si="1"/>
        <v>1</v>
      </c>
      <c r="AF54">
        <v>55000</v>
      </c>
      <c r="AG54">
        <v>0</v>
      </c>
      <c r="AH54">
        <v>1</v>
      </c>
      <c r="AI54">
        <v>1</v>
      </c>
      <c r="AK54" s="28">
        <f t="shared" si="2"/>
        <v>32317.955561309405</v>
      </c>
      <c r="AP54">
        <v>55000</v>
      </c>
      <c r="AQ54" s="28">
        <v>0</v>
      </c>
      <c r="AS54" s="28"/>
      <c r="AT54" s="28"/>
      <c r="AU54" s="28"/>
    </row>
    <row r="55" spans="1:47" x14ac:dyDescent="0.15">
      <c r="A55">
        <v>50</v>
      </c>
      <c r="C55" s="11">
        <v>7.7562779188156128E-3</v>
      </c>
      <c r="D55" s="11">
        <v>3.026127815246582E-2</v>
      </c>
      <c r="E55" s="11">
        <v>0.29031758080041453</v>
      </c>
      <c r="F55" s="11">
        <v>0</v>
      </c>
      <c r="G55" s="11">
        <v>1.762235164642334E-2</v>
      </c>
      <c r="H55" s="40">
        <v>4.692050498803744E-4</v>
      </c>
      <c r="I55" s="40">
        <v>1.4506432768411781</v>
      </c>
      <c r="J55" s="59">
        <v>0</v>
      </c>
      <c r="K55" s="59">
        <v>2866.256982088089</v>
      </c>
      <c r="L55" s="59">
        <v>0</v>
      </c>
      <c r="M55" s="11">
        <v>0.86524611711502075</v>
      </c>
      <c r="N55" s="11">
        <v>0.72187864780426025</v>
      </c>
      <c r="O55" s="11">
        <v>0.34581434726715088</v>
      </c>
      <c r="Q55" s="59">
        <v>15.090900789373105</v>
      </c>
      <c r="R55" s="78">
        <v>452.42349324740928</v>
      </c>
      <c r="S55" s="78">
        <v>15.143005854224675</v>
      </c>
      <c r="T55" s="78">
        <v>596.20265961133055</v>
      </c>
      <c r="U55" s="78">
        <v>5.2105064851570404E-2</v>
      </c>
      <c r="V55" s="78">
        <v>143.77916636392126</v>
      </c>
      <c r="X55" s="28">
        <f t="shared" si="4"/>
        <v>32747.55824337342</v>
      </c>
      <c r="Y55" s="28">
        <f t="shared" si="5"/>
        <v>32718.410219682952</v>
      </c>
      <c r="Z55" s="28">
        <f t="shared" si="0"/>
        <v>-29.148023690466374</v>
      </c>
      <c r="AB55">
        <f t="shared" si="6"/>
        <v>1</v>
      </c>
      <c r="AC55">
        <f t="shared" si="7"/>
        <v>0</v>
      </c>
      <c r="AD55">
        <f t="shared" si="1"/>
        <v>0</v>
      </c>
      <c r="AF55">
        <v>60000</v>
      </c>
      <c r="AG55">
        <v>0</v>
      </c>
      <c r="AH55">
        <v>1</v>
      </c>
      <c r="AI55">
        <v>1</v>
      </c>
      <c r="AK55" s="28">
        <f t="shared" si="2"/>
        <v>32747.55824337342</v>
      </c>
      <c r="AP55">
        <v>60000</v>
      </c>
      <c r="AQ55" s="28">
        <v>0</v>
      </c>
      <c r="AS55" s="28"/>
      <c r="AT55" s="28"/>
      <c r="AU55" s="28"/>
    </row>
    <row r="56" spans="1:47" x14ac:dyDescent="0.15">
      <c r="A56">
        <v>51</v>
      </c>
      <c r="C56" s="11">
        <v>1.009601354598999E-2</v>
      </c>
      <c r="D56" s="11">
        <v>1.5392839908599854E-2</v>
      </c>
      <c r="E56" s="11">
        <v>0.44975436697366084</v>
      </c>
      <c r="F56" s="11">
        <v>0</v>
      </c>
      <c r="G56" s="11">
        <v>3.6634594202041626E-2</v>
      </c>
      <c r="H56" s="40">
        <v>4.6406273092566608E-4</v>
      </c>
      <c r="I56" s="40">
        <v>1.4736412042552713</v>
      </c>
      <c r="J56" s="59">
        <v>0</v>
      </c>
      <c r="K56" s="59">
        <v>4820.5535858869553</v>
      </c>
      <c r="L56" s="59">
        <v>0</v>
      </c>
      <c r="M56" s="11">
        <v>0.89001381397247314</v>
      </c>
      <c r="N56" s="11">
        <v>0.78914356231689453</v>
      </c>
      <c r="O56" s="11">
        <v>0.29901173710823059</v>
      </c>
      <c r="Q56" s="59">
        <v>15.495666712793087</v>
      </c>
      <c r="R56" s="78">
        <v>509.47659374992782</v>
      </c>
      <c r="S56" s="78">
        <v>15.531824141290235</v>
      </c>
      <c r="T56" s="78">
        <v>631.5348613898758</v>
      </c>
      <c r="U56" s="78">
        <v>3.6157428497148203E-2</v>
      </c>
      <c r="V56" s="78">
        <v>122.05826763994799</v>
      </c>
      <c r="X56" s="28">
        <f t="shared" si="4"/>
        <v>33580.990174394865</v>
      </c>
      <c r="Y56" s="28">
        <f t="shared" si="5"/>
        <v>33538.478249448643</v>
      </c>
      <c r="Z56" s="28">
        <f t="shared" si="0"/>
        <v>-42.511924946221939</v>
      </c>
      <c r="AB56">
        <f t="shared" si="6"/>
        <v>1</v>
      </c>
      <c r="AC56">
        <f t="shared" si="7"/>
        <v>0</v>
      </c>
      <c r="AD56">
        <f t="shared" si="1"/>
        <v>0</v>
      </c>
      <c r="AF56">
        <v>65000</v>
      </c>
      <c r="AG56">
        <v>0</v>
      </c>
      <c r="AH56">
        <v>1</v>
      </c>
      <c r="AI56">
        <v>1</v>
      </c>
      <c r="AK56" s="28">
        <f t="shared" si="2"/>
        <v>33580.990174394865</v>
      </c>
      <c r="AP56">
        <v>65000</v>
      </c>
      <c r="AQ56" s="28">
        <v>0</v>
      </c>
      <c r="AS56" s="28"/>
      <c r="AT56" s="28"/>
      <c r="AU56" s="28"/>
    </row>
    <row r="57" spans="1:47" x14ac:dyDescent="0.15">
      <c r="A57">
        <v>52</v>
      </c>
      <c r="C57" s="11">
        <v>3.7879705429077148E-2</v>
      </c>
      <c r="D57" s="11">
        <v>6.6807270050048828E-3</v>
      </c>
      <c r="E57" s="11">
        <v>0.21043683708060038</v>
      </c>
      <c r="F57" s="11">
        <v>0</v>
      </c>
      <c r="G57" s="11">
        <v>1.6937732696533203E-2</v>
      </c>
      <c r="H57" s="40">
        <v>3.8963104544537087E-4</v>
      </c>
      <c r="I57" s="40">
        <v>1.4677599377525958</v>
      </c>
      <c r="J57" s="59">
        <v>0</v>
      </c>
      <c r="K57" s="59">
        <v>4468.3110900223255</v>
      </c>
      <c r="L57" s="59">
        <v>0</v>
      </c>
      <c r="M57" s="11">
        <v>0.85890161991119385</v>
      </c>
      <c r="N57" s="11">
        <v>0.74956750869750977</v>
      </c>
      <c r="O57" s="11">
        <v>0.3061707615852356</v>
      </c>
      <c r="Q57" s="59">
        <v>14.547237333638941</v>
      </c>
      <c r="R57" s="78">
        <v>471.22384001935325</v>
      </c>
      <c r="S57" s="78">
        <v>14.586039503280166</v>
      </c>
      <c r="T57" s="78">
        <v>595.47801514705077</v>
      </c>
      <c r="U57" s="78">
        <v>3.8802169641224182E-2</v>
      </c>
      <c r="V57" s="78">
        <v>124.25417512769752</v>
      </c>
      <c r="X57" s="28">
        <f t="shared" si="4"/>
        <v>31532.698293986319</v>
      </c>
      <c r="Y57" s="28">
        <f t="shared" si="5"/>
        <v>31493.808892069312</v>
      </c>
      <c r="Z57" s="28">
        <f t="shared" si="0"/>
        <v>-38.889401917004321</v>
      </c>
      <c r="AB57">
        <f t="shared" si="6"/>
        <v>1</v>
      </c>
      <c r="AC57">
        <f t="shared" si="7"/>
        <v>0</v>
      </c>
      <c r="AD57">
        <f t="shared" si="1"/>
        <v>0</v>
      </c>
      <c r="AF57">
        <v>70000</v>
      </c>
      <c r="AG57">
        <v>0</v>
      </c>
      <c r="AH57">
        <v>1</v>
      </c>
      <c r="AI57">
        <v>1</v>
      </c>
      <c r="AK57" s="28">
        <f t="shared" si="2"/>
        <v>31532.698293986319</v>
      </c>
      <c r="AP57">
        <v>70000</v>
      </c>
      <c r="AQ57" s="28">
        <v>0</v>
      </c>
      <c r="AS57" s="28"/>
      <c r="AT57" s="28"/>
      <c r="AU57" s="28"/>
    </row>
    <row r="58" spans="1:47" x14ac:dyDescent="0.15">
      <c r="A58">
        <v>53</v>
      </c>
      <c r="C58" s="11">
        <v>2.4441748857498169E-2</v>
      </c>
      <c r="D58" s="11">
        <v>3.123927116394043E-2</v>
      </c>
      <c r="E58" s="11">
        <v>0.10757698404599106</v>
      </c>
      <c r="F58" s="11">
        <v>0</v>
      </c>
      <c r="G58" s="11">
        <v>4.3631047010421753E-2</v>
      </c>
      <c r="H58" s="40">
        <v>2.3554475324796665E-4</v>
      </c>
      <c r="I58" s="40">
        <v>1.6562760829119418</v>
      </c>
      <c r="J58" s="59">
        <v>0</v>
      </c>
      <c r="K58" s="59">
        <v>4087.8844447433949</v>
      </c>
      <c r="L58" s="59">
        <v>0</v>
      </c>
      <c r="M58" s="11">
        <v>0.86055463552474976</v>
      </c>
      <c r="N58" s="11">
        <v>0.74207234382629395</v>
      </c>
      <c r="O58" s="11">
        <v>0.24843597412109375</v>
      </c>
      <c r="Q58" s="59">
        <v>14.759730689632878</v>
      </c>
      <c r="R58" s="78">
        <v>480.55246711564729</v>
      </c>
      <c r="S58" s="78">
        <v>14.821342788613476</v>
      </c>
      <c r="T58" s="78">
        <v>588.47937481189183</v>
      </c>
      <c r="U58" s="78">
        <v>6.1612098980598162E-2</v>
      </c>
      <c r="V58" s="78">
        <v>107.92690769624454</v>
      </c>
      <c r="X58" s="28">
        <f t="shared" si="4"/>
        <v>31990.855050076683</v>
      </c>
      <c r="Y58" s="28">
        <f t="shared" si="5"/>
        <v>32018.474760137753</v>
      </c>
      <c r="Z58" s="28">
        <f t="shared" si="0"/>
        <v>27.61971006107143</v>
      </c>
      <c r="AB58">
        <f t="shared" si="6"/>
        <v>0</v>
      </c>
      <c r="AC58">
        <f t="shared" si="7"/>
        <v>1</v>
      </c>
      <c r="AD58">
        <f t="shared" si="1"/>
        <v>1</v>
      </c>
      <c r="AF58">
        <v>75000</v>
      </c>
      <c r="AG58">
        <v>0</v>
      </c>
      <c r="AH58">
        <v>1</v>
      </c>
      <c r="AI58">
        <v>1</v>
      </c>
      <c r="AK58" s="28">
        <f t="shared" si="2"/>
        <v>32018.474760137753</v>
      </c>
      <c r="AP58">
        <v>75000</v>
      </c>
      <c r="AQ58" s="28">
        <v>0</v>
      </c>
      <c r="AS58" s="28"/>
      <c r="AT58" s="28"/>
      <c r="AU58" s="28"/>
    </row>
    <row r="59" spans="1:47" x14ac:dyDescent="0.15">
      <c r="A59">
        <v>54</v>
      </c>
      <c r="C59" s="11">
        <v>1.0786473751068115E-2</v>
      </c>
      <c r="D59" s="11">
        <v>1.3057127594947815E-2</v>
      </c>
      <c r="E59" s="11">
        <v>0.23776772831796422</v>
      </c>
      <c r="F59" s="11">
        <v>0</v>
      </c>
      <c r="G59" s="11">
        <v>5.3378671407699585E-2</v>
      </c>
      <c r="H59" s="40">
        <v>5.0525070122508576E-4</v>
      </c>
      <c r="I59" s="40">
        <v>1.4897974233290698</v>
      </c>
      <c r="J59" s="59">
        <v>0</v>
      </c>
      <c r="K59" s="59">
        <v>7788.8928353786469</v>
      </c>
      <c r="L59" s="59">
        <v>0</v>
      </c>
      <c r="M59" s="11">
        <v>0.80286860466003418</v>
      </c>
      <c r="N59" s="11">
        <v>0.75667077302932739</v>
      </c>
      <c r="O59" s="11">
        <v>0.30837655067443848</v>
      </c>
      <c r="Q59" s="59">
        <v>13.976639368477686</v>
      </c>
      <c r="R59" s="78">
        <v>624.57707391678798</v>
      </c>
      <c r="S59" s="78">
        <v>14.015944246774147</v>
      </c>
      <c r="T59" s="78">
        <v>634.82060330738943</v>
      </c>
      <c r="U59" s="78">
        <v>3.9304878296460899E-2</v>
      </c>
      <c r="V59" s="78">
        <v>10.243529390601452</v>
      </c>
      <c r="X59" s="28">
        <f t="shared" si="4"/>
        <v>30124.02953673412</v>
      </c>
      <c r="Y59" s="28">
        <f t="shared" si="5"/>
        <v>30200.256739595734</v>
      </c>
      <c r="Z59" s="28">
        <f t="shared" si="0"/>
        <v>76.227202861612525</v>
      </c>
      <c r="AB59">
        <f t="shared" si="6"/>
        <v>0</v>
      </c>
      <c r="AC59">
        <f t="shared" si="7"/>
        <v>1</v>
      </c>
      <c r="AD59">
        <f t="shared" si="1"/>
        <v>1</v>
      </c>
      <c r="AF59">
        <v>80000</v>
      </c>
      <c r="AG59">
        <v>0</v>
      </c>
      <c r="AH59">
        <v>1</v>
      </c>
      <c r="AI59">
        <v>1</v>
      </c>
      <c r="AK59" s="28">
        <f t="shared" si="2"/>
        <v>30200.256739595734</v>
      </c>
      <c r="AP59">
        <v>80000</v>
      </c>
      <c r="AQ59" s="28">
        <v>0</v>
      </c>
      <c r="AS59" s="28"/>
      <c r="AT59" s="28"/>
      <c r="AU59" s="28"/>
    </row>
    <row r="60" spans="1:47" x14ac:dyDescent="0.15">
      <c r="A60">
        <v>55</v>
      </c>
      <c r="C60" s="11">
        <v>8.0776959657669067E-3</v>
      </c>
      <c r="D60" s="11">
        <v>4.9673080444335938E-2</v>
      </c>
      <c r="E60" s="11">
        <v>0.16724189227320613</v>
      </c>
      <c r="F60" s="11">
        <v>0</v>
      </c>
      <c r="G60" s="11">
        <v>5.7136237621307373E-2</v>
      </c>
      <c r="H60" s="40">
        <v>4.143378377979395E-4</v>
      </c>
      <c r="I60" s="40">
        <v>1.4969400980548457</v>
      </c>
      <c r="J60" s="59">
        <v>0</v>
      </c>
      <c r="K60" s="59">
        <v>5602.4780496954918</v>
      </c>
      <c r="L60" s="59">
        <v>0</v>
      </c>
      <c r="M60" s="11">
        <v>0.77572536468505859</v>
      </c>
      <c r="N60" s="11">
        <v>0.7367476224899292</v>
      </c>
      <c r="O60" s="11">
        <v>0.25803995132446289</v>
      </c>
      <c r="Q60" s="59">
        <v>13.536085758707765</v>
      </c>
      <c r="R60" s="78">
        <v>534.27365519652471</v>
      </c>
      <c r="S60" s="78">
        <v>13.581968460971716</v>
      </c>
      <c r="T60" s="78">
        <v>602.85208676623643</v>
      </c>
      <c r="U60" s="78">
        <v>4.5882702263950748E-2</v>
      </c>
      <c r="V60" s="78">
        <v>68.578431569711711</v>
      </c>
      <c r="X60" s="28">
        <f t="shared" si="4"/>
        <v>29245.11501396056</v>
      </c>
      <c r="Y60" s="28">
        <f t="shared" si="5"/>
        <v>29277.478527371539</v>
      </c>
      <c r="Z60" s="28">
        <f t="shared" si="0"/>
        <v>32.363513410979934</v>
      </c>
      <c r="AB60">
        <f t="shared" si="6"/>
        <v>0</v>
      </c>
      <c r="AC60">
        <f t="shared" si="7"/>
        <v>1</v>
      </c>
      <c r="AD60">
        <f t="shared" si="1"/>
        <v>1</v>
      </c>
      <c r="AF60">
        <v>85000</v>
      </c>
      <c r="AG60">
        <v>0</v>
      </c>
      <c r="AH60">
        <v>1</v>
      </c>
      <c r="AI60">
        <v>1</v>
      </c>
      <c r="AK60" s="28">
        <f t="shared" si="2"/>
        <v>29277.478527371539</v>
      </c>
      <c r="AP60">
        <v>85000</v>
      </c>
      <c r="AQ60" s="28">
        <v>0</v>
      </c>
      <c r="AS60" s="28"/>
      <c r="AT60" s="28"/>
      <c r="AU60" s="28"/>
    </row>
    <row r="61" spans="1:47" x14ac:dyDescent="0.15">
      <c r="A61">
        <v>56</v>
      </c>
      <c r="C61" s="11">
        <v>3.5315275192260742E-2</v>
      </c>
      <c r="D61" s="11">
        <v>9.6266567707061768E-3</v>
      </c>
      <c r="E61" s="11">
        <v>0.21317738096990946</v>
      </c>
      <c r="F61" s="11">
        <v>0</v>
      </c>
      <c r="G61" s="11">
        <v>4.1061520576477051E-2</v>
      </c>
      <c r="H61" s="40">
        <v>6.9239240889672204E-4</v>
      </c>
      <c r="I61" s="40">
        <v>1.3792730231038421</v>
      </c>
      <c r="J61" s="59">
        <v>0</v>
      </c>
      <c r="K61" s="59">
        <v>3913.8691499829292</v>
      </c>
      <c r="L61" s="59">
        <v>0</v>
      </c>
      <c r="M61" s="11">
        <v>0.88242661952972412</v>
      </c>
      <c r="N61" s="11">
        <v>0.7274327278137207</v>
      </c>
      <c r="O61" s="11">
        <v>0.35413765907287598</v>
      </c>
      <c r="Q61" s="59">
        <v>14.949490225188121</v>
      </c>
      <c r="R61" s="78">
        <v>499.78472352474597</v>
      </c>
      <c r="S61" s="78">
        <v>15.017468376856302</v>
      </c>
      <c r="T61" s="78">
        <v>601.94982542452067</v>
      </c>
      <c r="U61" s="78">
        <v>6.7978151668180331E-2</v>
      </c>
      <c r="V61" s="78">
        <v>102.1651018997747</v>
      </c>
      <c r="X61" s="28">
        <f t="shared" si="4"/>
        <v>32389.093771889122</v>
      </c>
      <c r="Y61" s="28">
        <f t="shared" si="5"/>
        <v>32436.480603659344</v>
      </c>
      <c r="Z61" s="28">
        <f t="shared" si="0"/>
        <v>47.386831770222045</v>
      </c>
      <c r="AB61">
        <f t="shared" si="6"/>
        <v>0</v>
      </c>
      <c r="AC61">
        <f t="shared" si="7"/>
        <v>1</v>
      </c>
      <c r="AD61">
        <f t="shared" si="1"/>
        <v>1</v>
      </c>
      <c r="AF61">
        <v>90000</v>
      </c>
      <c r="AG61">
        <v>0</v>
      </c>
      <c r="AH61">
        <v>1</v>
      </c>
      <c r="AI61">
        <v>1</v>
      </c>
      <c r="AK61" s="28">
        <f t="shared" si="2"/>
        <v>32436.480603659344</v>
      </c>
      <c r="AP61">
        <v>90000</v>
      </c>
      <c r="AQ61" s="28">
        <v>0</v>
      </c>
      <c r="AS61" s="28"/>
      <c r="AT61" s="28"/>
      <c r="AU61" s="28"/>
    </row>
    <row r="62" spans="1:47" x14ac:dyDescent="0.15">
      <c r="A62">
        <v>57</v>
      </c>
      <c r="C62" s="11">
        <v>2.6979118585586548E-2</v>
      </c>
      <c r="D62" s="11">
        <v>1.7612576484680176E-2</v>
      </c>
      <c r="E62" s="11">
        <v>0.29549791282598042</v>
      </c>
      <c r="F62" s="11">
        <v>0</v>
      </c>
      <c r="G62" s="11">
        <v>5.5015742778778076E-2</v>
      </c>
      <c r="H62" s="40">
        <v>3.9007174102358519E-4</v>
      </c>
      <c r="I62" s="40">
        <v>1.3390145116816183</v>
      </c>
      <c r="J62" s="59">
        <v>0</v>
      </c>
      <c r="K62" s="59">
        <v>5489.1221225261688</v>
      </c>
      <c r="L62" s="59">
        <v>0</v>
      </c>
      <c r="M62" s="11">
        <v>0.87273901700973511</v>
      </c>
      <c r="N62" s="11">
        <v>0.73479467630386353</v>
      </c>
      <c r="O62" s="11">
        <v>0.27386486530303955</v>
      </c>
      <c r="Q62" s="59">
        <v>14.953955541316438</v>
      </c>
      <c r="R62" s="78">
        <v>474.9570263355202</v>
      </c>
      <c r="S62" s="78">
        <v>14.986127446816862</v>
      </c>
      <c r="T62" s="78">
        <v>603.10618844815622</v>
      </c>
      <c r="U62" s="78">
        <v>3.2171905500424813E-2</v>
      </c>
      <c r="V62" s="78">
        <v>128.14916211263602</v>
      </c>
      <c r="X62" s="28">
        <f t="shared" si="4"/>
        <v>32423.745164560642</v>
      </c>
      <c r="Y62" s="28">
        <f t="shared" si="5"/>
        <v>32366.374194548942</v>
      </c>
      <c r="Z62" s="28">
        <f t="shared" si="0"/>
        <v>-57.370970011701431</v>
      </c>
      <c r="AB62">
        <f t="shared" si="6"/>
        <v>1</v>
      </c>
      <c r="AC62">
        <f t="shared" si="7"/>
        <v>0</v>
      </c>
      <c r="AD62">
        <f t="shared" si="1"/>
        <v>0</v>
      </c>
      <c r="AF62">
        <v>95000</v>
      </c>
      <c r="AG62">
        <v>0</v>
      </c>
      <c r="AH62">
        <v>1</v>
      </c>
      <c r="AI62">
        <v>1</v>
      </c>
      <c r="AK62" s="28">
        <f t="shared" si="2"/>
        <v>32423.745164560642</v>
      </c>
      <c r="AP62">
        <v>95000</v>
      </c>
      <c r="AQ62" s="28">
        <v>0</v>
      </c>
      <c r="AS62" s="28"/>
      <c r="AT62" s="28"/>
      <c r="AU62" s="28"/>
    </row>
    <row r="63" spans="1:47" x14ac:dyDescent="0.15">
      <c r="A63">
        <v>58</v>
      </c>
      <c r="C63" s="11">
        <v>1.4545857906341553E-2</v>
      </c>
      <c r="D63" s="11">
        <v>3.1561911106109619E-2</v>
      </c>
      <c r="E63" s="11">
        <v>0.2516378644558529</v>
      </c>
      <c r="F63" s="11">
        <v>0</v>
      </c>
      <c r="G63" s="11">
        <v>4.8780739307403564E-2</v>
      </c>
      <c r="H63" s="40">
        <v>3.5204611529333565E-4</v>
      </c>
      <c r="I63" s="40">
        <v>1.5242511535160166</v>
      </c>
      <c r="J63" s="59">
        <v>0</v>
      </c>
      <c r="K63" s="59">
        <v>4544.8821038007736</v>
      </c>
      <c r="L63" s="59">
        <v>0</v>
      </c>
      <c r="M63" s="11">
        <v>0.84401154518127441</v>
      </c>
      <c r="N63" s="11">
        <v>0.67549276351928711</v>
      </c>
      <c r="O63" s="11">
        <v>0.30566826462745667</v>
      </c>
      <c r="Q63" s="59">
        <v>14.610303200680638</v>
      </c>
      <c r="R63" s="78">
        <v>495.00176274982562</v>
      </c>
      <c r="S63" s="78">
        <v>14.670671290300149</v>
      </c>
      <c r="T63" s="78">
        <v>604.77470485971742</v>
      </c>
      <c r="U63" s="78">
        <v>6.0368089619510457E-2</v>
      </c>
      <c r="V63" s="78">
        <v>109.7729421098918</v>
      </c>
      <c r="X63" s="28">
        <f t="shared" si="4"/>
        <v>31647.665278747576</v>
      </c>
      <c r="Y63" s="28">
        <f t="shared" si="5"/>
        <v>31670.702133800613</v>
      </c>
      <c r="Z63" s="28">
        <f t="shared" si="0"/>
        <v>23.036855053031218</v>
      </c>
      <c r="AB63">
        <f t="shared" si="6"/>
        <v>0</v>
      </c>
      <c r="AC63">
        <f t="shared" si="7"/>
        <v>1</v>
      </c>
      <c r="AD63">
        <f t="shared" si="1"/>
        <v>1</v>
      </c>
      <c r="AF63">
        <v>100000</v>
      </c>
      <c r="AG63">
        <v>0</v>
      </c>
      <c r="AH63">
        <v>1</v>
      </c>
      <c r="AI63">
        <v>1</v>
      </c>
      <c r="AK63" s="28">
        <f t="shared" si="2"/>
        <v>31670.702133800613</v>
      </c>
      <c r="AP63">
        <v>100000</v>
      </c>
      <c r="AQ63" s="28">
        <v>0</v>
      </c>
      <c r="AS63" s="28"/>
      <c r="AT63" s="28"/>
      <c r="AU63" s="28"/>
    </row>
    <row r="64" spans="1:47" x14ac:dyDescent="0.15">
      <c r="A64">
        <v>59</v>
      </c>
      <c r="C64" s="11">
        <v>1.611095666885376E-2</v>
      </c>
      <c r="D64" s="11">
        <v>5.4272174835205078E-2</v>
      </c>
      <c r="E64" s="11">
        <v>0.20553851738258927</v>
      </c>
      <c r="F64" s="11">
        <v>0</v>
      </c>
      <c r="G64" s="11">
        <v>2.6772379875183105E-2</v>
      </c>
      <c r="H64" s="40">
        <v>4.0532545379561008E-4</v>
      </c>
      <c r="I64" s="40">
        <v>1.4437960420805054</v>
      </c>
      <c r="J64" s="59">
        <v>0</v>
      </c>
      <c r="K64" s="59">
        <v>6183.2787469029427</v>
      </c>
      <c r="L64" s="59">
        <v>0</v>
      </c>
      <c r="M64" s="11">
        <v>0.84592890739440918</v>
      </c>
      <c r="N64" s="11">
        <v>0.76015937328338623</v>
      </c>
      <c r="O64" s="11">
        <v>0.28320938348770142</v>
      </c>
      <c r="Q64" s="59">
        <v>14.645309280538997</v>
      </c>
      <c r="R64" s="78">
        <v>505.34453070382983</v>
      </c>
      <c r="S64" s="78">
        <v>14.689694702693123</v>
      </c>
      <c r="T64" s="78">
        <v>602.19056925428299</v>
      </c>
      <c r="U64" s="78">
        <v>4.4385422154125109E-2</v>
      </c>
      <c r="V64" s="78">
        <v>96.846038550453159</v>
      </c>
      <c r="X64" s="28">
        <f t="shared" si="4"/>
        <v>31714.335886481964</v>
      </c>
      <c r="Y64" s="28">
        <f t="shared" si="5"/>
        <v>31715.137776670588</v>
      </c>
      <c r="Z64" s="28">
        <f t="shared" si="0"/>
        <v>0.80189018862208172</v>
      </c>
      <c r="AB64">
        <f t="shared" si="6"/>
        <v>0</v>
      </c>
      <c r="AC64">
        <f t="shared" si="7"/>
        <v>1</v>
      </c>
      <c r="AD64">
        <f t="shared" si="1"/>
        <v>1</v>
      </c>
      <c r="AK64" s="28">
        <f t="shared" si="2"/>
        <v>31715.137776670588</v>
      </c>
      <c r="AS64" s="28"/>
      <c r="AT64" s="28"/>
      <c r="AU64" s="28"/>
    </row>
    <row r="65" spans="1:47" x14ac:dyDescent="0.15">
      <c r="A65">
        <v>60</v>
      </c>
      <c r="C65" s="11">
        <v>1.5214502811431885E-2</v>
      </c>
      <c r="D65" s="11">
        <v>1.0660678148269653E-2</v>
      </c>
      <c r="E65" s="11">
        <v>0.17111338599093359</v>
      </c>
      <c r="F65" s="11">
        <v>0</v>
      </c>
      <c r="G65" s="11">
        <v>3.4727305173873901E-2</v>
      </c>
      <c r="H65" s="40">
        <v>3.5814165584290074E-4</v>
      </c>
      <c r="I65" s="40">
        <v>1.4877394569418201</v>
      </c>
      <c r="J65" s="59">
        <v>0</v>
      </c>
      <c r="K65" s="59">
        <v>5068.3680456131697</v>
      </c>
      <c r="L65" s="59">
        <v>0</v>
      </c>
      <c r="M65" s="11">
        <v>0.85327017307281494</v>
      </c>
      <c r="N65" s="11">
        <v>0.76468062400817871</v>
      </c>
      <c r="O65" s="11">
        <v>0.2268524169921875</v>
      </c>
      <c r="Q65" s="59">
        <v>14.792564329482746</v>
      </c>
      <c r="R65" s="78">
        <v>490.68074047234262</v>
      </c>
      <c r="S65" s="78">
        <v>14.833806474418544</v>
      </c>
      <c r="T65" s="78">
        <v>595.77815089867693</v>
      </c>
      <c r="U65" s="78">
        <v>4.1242144935798919E-2</v>
      </c>
      <c r="V65" s="78">
        <v>105.09741042633431</v>
      </c>
      <c r="X65" s="28">
        <f t="shared" si="4"/>
        <v>32052.960784389696</v>
      </c>
      <c r="Y65" s="28">
        <f t="shared" si="5"/>
        <v>32038.596092822121</v>
      </c>
      <c r="Z65" s="28">
        <f t="shared" si="0"/>
        <v>-14.364691567576685</v>
      </c>
      <c r="AB65">
        <f t="shared" si="6"/>
        <v>1</v>
      </c>
      <c r="AC65">
        <f t="shared" si="7"/>
        <v>0</v>
      </c>
      <c r="AD65">
        <f t="shared" si="1"/>
        <v>0</v>
      </c>
      <c r="AK65" s="28">
        <f t="shared" si="2"/>
        <v>32052.960784389696</v>
      </c>
      <c r="AS65" s="28"/>
      <c r="AT65" s="28"/>
      <c r="AU65" s="28"/>
    </row>
    <row r="66" spans="1:47" x14ac:dyDescent="0.15">
      <c r="A66">
        <v>61</v>
      </c>
      <c r="C66" s="11">
        <v>1.7649143934249878E-2</v>
      </c>
      <c r="D66" s="11">
        <v>3.6080241203308105E-2</v>
      </c>
      <c r="E66" s="11">
        <v>0.35568484018391722</v>
      </c>
      <c r="F66" s="11">
        <v>0</v>
      </c>
      <c r="G66" s="11">
        <v>5.2341222763061523E-2</v>
      </c>
      <c r="H66" s="40">
        <v>4.945578661979471E-4</v>
      </c>
      <c r="I66" s="40">
        <v>1.4532851956032347</v>
      </c>
      <c r="J66" s="59">
        <v>0</v>
      </c>
      <c r="K66" s="59">
        <v>6142.6940374076366</v>
      </c>
      <c r="L66" s="59">
        <v>0</v>
      </c>
      <c r="M66" s="11">
        <v>0.79733741283416748</v>
      </c>
      <c r="N66" s="11">
        <v>0.6752471923828125</v>
      </c>
      <c r="O66" s="11">
        <v>0.3147462010383606</v>
      </c>
      <c r="Q66" s="59">
        <v>13.759618773535685</v>
      </c>
      <c r="R66" s="78">
        <v>551.3283634925042</v>
      </c>
      <c r="S66" s="78">
        <v>13.807949794098187</v>
      </c>
      <c r="T66" s="78">
        <v>635.70071895882268</v>
      </c>
      <c r="U66" s="78">
        <v>4.8331020562502047E-2</v>
      </c>
      <c r="V66" s="78">
        <v>84.372355466318481</v>
      </c>
      <c r="X66" s="28">
        <f t="shared" si="4"/>
        <v>29719.832938286003</v>
      </c>
      <c r="Y66" s="28">
        <f t="shared" si="5"/>
        <v>29741.78882805719</v>
      </c>
      <c r="Z66" s="28">
        <f t="shared" si="0"/>
        <v>21.955889771186023</v>
      </c>
      <c r="AB66">
        <f t="shared" si="6"/>
        <v>0</v>
      </c>
      <c r="AC66">
        <f t="shared" si="7"/>
        <v>1</v>
      </c>
      <c r="AD66">
        <f t="shared" si="1"/>
        <v>1</v>
      </c>
      <c r="AK66" s="28">
        <f t="shared" si="2"/>
        <v>29741.78882805719</v>
      </c>
      <c r="AS66" s="28"/>
      <c r="AT66" s="28"/>
      <c r="AU66" s="28"/>
    </row>
    <row r="67" spans="1:47" x14ac:dyDescent="0.15">
      <c r="A67">
        <v>62</v>
      </c>
      <c r="C67" s="11">
        <v>2.2162705659866333E-2</v>
      </c>
      <c r="D67" s="11">
        <v>2.8462857007980347E-2</v>
      </c>
      <c r="E67" s="11">
        <v>0.18733126923265683</v>
      </c>
      <c r="F67" s="11">
        <v>0</v>
      </c>
      <c r="G67" s="11">
        <v>3.3042073249816895E-2</v>
      </c>
      <c r="H67" s="40">
        <v>4.3177986338598139E-4</v>
      </c>
      <c r="I67" s="40">
        <v>1.4481755175155184</v>
      </c>
      <c r="J67" s="59">
        <v>0</v>
      </c>
      <c r="K67" s="59">
        <v>6978.4512743353844</v>
      </c>
      <c r="L67" s="59">
        <v>0</v>
      </c>
      <c r="M67" s="11">
        <v>0.86022043228149414</v>
      </c>
      <c r="N67" s="11">
        <v>0.75699394941329956</v>
      </c>
      <c r="O67" s="11">
        <v>0.35831308364868164</v>
      </c>
      <c r="Q67" s="59">
        <v>14.801060041458189</v>
      </c>
      <c r="R67" s="78">
        <v>533.90207335938783</v>
      </c>
      <c r="S67" s="78">
        <v>14.847007110498696</v>
      </c>
      <c r="T67" s="78">
        <v>605.59160104417924</v>
      </c>
      <c r="U67" s="78">
        <v>4.5947069040506605E-2</v>
      </c>
      <c r="V67" s="78">
        <v>71.689527684791415</v>
      </c>
      <c r="X67" s="28">
        <f t="shared" si="4"/>
        <v>32028.43001784863</v>
      </c>
      <c r="Y67" s="28">
        <f t="shared" si="5"/>
        <v>32057.824042052951</v>
      </c>
      <c r="Z67" s="28">
        <f t="shared" si="0"/>
        <v>29.394024204323117</v>
      </c>
      <c r="AB67">
        <f t="shared" si="6"/>
        <v>0</v>
      </c>
      <c r="AC67">
        <f t="shared" si="7"/>
        <v>1</v>
      </c>
      <c r="AD67">
        <f t="shared" si="1"/>
        <v>1</v>
      </c>
      <c r="AK67" s="28">
        <f t="shared" si="2"/>
        <v>32057.824042052951</v>
      </c>
      <c r="AS67" s="28"/>
      <c r="AT67" s="28"/>
      <c r="AU67" s="28"/>
    </row>
    <row r="68" spans="1:47" x14ac:dyDescent="0.15">
      <c r="A68">
        <v>63</v>
      </c>
      <c r="C68" s="11">
        <v>2.7447134256362915E-2</v>
      </c>
      <c r="D68" s="11">
        <v>1.0968059301376343E-2</v>
      </c>
      <c r="E68" s="11">
        <v>0.22495892721617641</v>
      </c>
      <c r="F68" s="11">
        <v>0</v>
      </c>
      <c r="G68" s="11">
        <v>1.0518431663513184E-2</v>
      </c>
      <c r="H68" s="40">
        <v>4.3522226319327243E-4</v>
      </c>
      <c r="I68" s="40">
        <v>1.4364392287640855</v>
      </c>
      <c r="J68" s="59">
        <v>0</v>
      </c>
      <c r="K68" s="59">
        <v>7040.6496524810791</v>
      </c>
      <c r="L68" s="59">
        <v>0</v>
      </c>
      <c r="M68" s="11">
        <v>0.81906652450561523</v>
      </c>
      <c r="N68" s="11">
        <v>0.75094032287597656</v>
      </c>
      <c r="O68" s="11">
        <v>0.31677699089050293</v>
      </c>
      <c r="Q68" s="59">
        <v>14.03280034350748</v>
      </c>
      <c r="R68" s="78">
        <v>514.23921584483969</v>
      </c>
      <c r="S68" s="78">
        <v>14.061921045247171</v>
      </c>
      <c r="T68" s="78">
        <v>606.4237015047114</v>
      </c>
      <c r="U68" s="78">
        <v>2.9120701739691057E-2</v>
      </c>
      <c r="V68" s="78">
        <v>92.184485659871712</v>
      </c>
      <c r="X68" s="28">
        <f t="shared" si="4"/>
        <v>30357.921539871619</v>
      </c>
      <c r="Y68" s="28">
        <f t="shared" si="5"/>
        <v>30329.802598039067</v>
      </c>
      <c r="Z68" s="28">
        <f t="shared" si="0"/>
        <v>-28.118941832551386</v>
      </c>
      <c r="AB68">
        <f t="shared" si="6"/>
        <v>1</v>
      </c>
      <c r="AC68">
        <f t="shared" si="7"/>
        <v>0</v>
      </c>
      <c r="AD68">
        <f t="shared" si="1"/>
        <v>0</v>
      </c>
      <c r="AK68" s="28">
        <f t="shared" si="2"/>
        <v>30357.921539871619</v>
      </c>
      <c r="AS68" s="28"/>
      <c r="AT68" s="28"/>
      <c r="AU68" s="28"/>
    </row>
    <row r="69" spans="1:47" x14ac:dyDescent="0.15">
      <c r="A69">
        <v>64</v>
      </c>
      <c r="C69" s="11">
        <v>4.8377275466918945E-2</v>
      </c>
      <c r="D69" s="11">
        <v>3.3110380172729492E-3</v>
      </c>
      <c r="E69" s="11">
        <v>0.24813869972354943</v>
      </c>
      <c r="F69" s="11">
        <v>0</v>
      </c>
      <c r="G69" s="11">
        <v>1.4063239097595215E-2</v>
      </c>
      <c r="H69" s="40">
        <v>4.9860564296494859E-4</v>
      </c>
      <c r="I69" s="40">
        <v>1.4323561548964041</v>
      </c>
      <c r="J69" s="59">
        <v>0</v>
      </c>
      <c r="K69" s="59">
        <v>6472.6080745458603</v>
      </c>
      <c r="L69" s="59">
        <v>0</v>
      </c>
      <c r="M69" s="11">
        <v>0.83128660917282104</v>
      </c>
      <c r="N69" s="11">
        <v>0.76966607570648193</v>
      </c>
      <c r="O69" s="11">
        <v>0.38611602783203125</v>
      </c>
      <c r="Q69" s="59">
        <v>13.937048703435465</v>
      </c>
      <c r="R69" s="78">
        <v>519.03035722216919</v>
      </c>
      <c r="S69" s="78">
        <v>13.964032366512413</v>
      </c>
      <c r="T69" s="78">
        <v>610.49318807648274</v>
      </c>
      <c r="U69" s="78">
        <v>2.6983663076947551E-2</v>
      </c>
      <c r="V69" s="78">
        <v>91.462830854313552</v>
      </c>
      <c r="X69" s="28">
        <f t="shared" si="4"/>
        <v>30142.476790335852</v>
      </c>
      <c r="Y69" s="28">
        <f t="shared" si="5"/>
        <v>30110.378018250827</v>
      </c>
      <c r="Z69" s="28">
        <f t="shared" si="0"/>
        <v>-32.098772085028941</v>
      </c>
      <c r="AB69">
        <f t="shared" si="6"/>
        <v>1</v>
      </c>
      <c r="AC69">
        <f t="shared" si="7"/>
        <v>0</v>
      </c>
      <c r="AD69">
        <f t="shared" si="1"/>
        <v>0</v>
      </c>
      <c r="AK69" s="28">
        <f t="shared" si="2"/>
        <v>30142.476790335852</v>
      </c>
      <c r="AS69" s="28"/>
      <c r="AT69" s="28"/>
      <c r="AU69" s="28"/>
    </row>
    <row r="70" spans="1:47" x14ac:dyDescent="0.15">
      <c r="A70">
        <v>65</v>
      </c>
      <c r="C70" s="11">
        <v>3.3113926649093628E-2</v>
      </c>
      <c r="D70" s="11">
        <v>2.3840665817260742E-2</v>
      </c>
      <c r="E70" s="11">
        <v>0.26224854250495705</v>
      </c>
      <c r="F70" s="11">
        <v>0</v>
      </c>
      <c r="G70" s="11">
        <v>1.9776284694671631E-2</v>
      </c>
      <c r="H70" s="40">
        <v>3.6998369168263743E-4</v>
      </c>
      <c r="I70" s="40">
        <v>1.3716466222277635</v>
      </c>
      <c r="J70" s="59">
        <v>0</v>
      </c>
      <c r="K70" s="59">
        <v>4476.8373481929302</v>
      </c>
      <c r="L70" s="59">
        <v>0</v>
      </c>
      <c r="M70" s="11">
        <v>0.88406634330749512</v>
      </c>
      <c r="N70" s="11">
        <v>0.77923136949539185</v>
      </c>
      <c r="O70" s="11">
        <v>0.31176352500915527</v>
      </c>
      <c r="Q70" s="59">
        <v>15.06027609284166</v>
      </c>
      <c r="R70" s="78">
        <v>450.76603009384712</v>
      </c>
      <c r="S70" s="78">
        <v>15.08850375334389</v>
      </c>
      <c r="T70" s="78">
        <v>594.01841158912009</v>
      </c>
      <c r="U70" s="78">
        <v>2.8227660502230023E-2</v>
      </c>
      <c r="V70" s="78">
        <v>143.25238149527297</v>
      </c>
      <c r="X70" s="28">
        <f t="shared" si="4"/>
        <v>32681.841374157801</v>
      </c>
      <c r="Y70" s="28">
        <f t="shared" si="5"/>
        <v>32600.689845767436</v>
      </c>
      <c r="Z70" s="28">
        <f t="shared" si="0"/>
        <v>-81.15152839036692</v>
      </c>
      <c r="AB70">
        <f t="shared" si="6"/>
        <v>1</v>
      </c>
      <c r="AC70">
        <f t="shared" si="7"/>
        <v>0</v>
      </c>
      <c r="AD70">
        <f t="shared" si="1"/>
        <v>0</v>
      </c>
      <c r="AK70" s="28">
        <f t="shared" si="2"/>
        <v>32681.841374157801</v>
      </c>
      <c r="AS70" s="28"/>
      <c r="AT70" s="28"/>
      <c r="AU70" s="28"/>
    </row>
    <row r="71" spans="1:47" x14ac:dyDescent="0.15">
      <c r="A71">
        <v>66</v>
      </c>
      <c r="C71" s="11">
        <v>3.3131778240203857E-2</v>
      </c>
      <c r="D71" s="11">
        <v>9.1324895620346069E-3</v>
      </c>
      <c r="E71" s="11">
        <v>0.12648177232519028</v>
      </c>
      <c r="F71" s="11">
        <v>0</v>
      </c>
      <c r="G71" s="11">
        <v>4.3301194906234741E-2</v>
      </c>
      <c r="H71" s="40">
        <v>4.6691581210784721E-4</v>
      </c>
      <c r="I71" s="40">
        <v>1.4131460164094818</v>
      </c>
      <c r="J71" s="59">
        <v>0</v>
      </c>
      <c r="K71" s="59">
        <v>4928.0677922070026</v>
      </c>
      <c r="L71" s="59">
        <v>0</v>
      </c>
      <c r="M71" s="11">
        <v>0.83409029245376587</v>
      </c>
      <c r="N71" s="11">
        <v>0.74660384654998779</v>
      </c>
      <c r="O71" s="11">
        <v>0.32558858394622803</v>
      </c>
      <c r="Q71" s="59">
        <v>14.198241409786478</v>
      </c>
      <c r="R71" s="78">
        <v>495.1003488223821</v>
      </c>
      <c r="S71" s="78">
        <v>14.23888464050699</v>
      </c>
      <c r="T71" s="78">
        <v>591.9779245819667</v>
      </c>
      <c r="U71" s="78">
        <v>4.0643230720512236E-2</v>
      </c>
      <c r="V71" s="78">
        <v>96.877575759584602</v>
      </c>
      <c r="X71" s="28">
        <f t="shared" si="4"/>
        <v>30741.030752707869</v>
      </c>
      <c r="Y71" s="28">
        <f t="shared" si="5"/>
        <v>30733.568284533412</v>
      </c>
      <c r="Z71" s="28">
        <f t="shared" ref="Z71:Z105" si="8">U71*cRatio-V71</f>
        <v>-7.4624681744576833</v>
      </c>
      <c r="AB71">
        <f t="shared" si="6"/>
        <v>1</v>
      </c>
      <c r="AC71">
        <f t="shared" si="7"/>
        <v>0</v>
      </c>
      <c r="AD71">
        <f t="shared" ref="AD71:AD105" si="9">IF(Z71&gt;0,1,0)</f>
        <v>0</v>
      </c>
      <c r="AK71" s="28">
        <f t="shared" ref="AK71:AK105" si="10">MAX(X71:Y71)</f>
        <v>30741.030752707869</v>
      </c>
      <c r="AS71" s="28"/>
      <c r="AT71" s="28"/>
      <c r="AU71" s="28"/>
    </row>
    <row r="72" spans="1:47" x14ac:dyDescent="0.15">
      <c r="A72">
        <v>67</v>
      </c>
      <c r="C72" s="11">
        <v>3.8498520851135254E-2</v>
      </c>
      <c r="D72" s="11">
        <v>2.2789239883422852E-2</v>
      </c>
      <c r="E72" s="11">
        <v>0.22232389049761778</v>
      </c>
      <c r="F72" s="11">
        <v>0</v>
      </c>
      <c r="G72" s="11">
        <v>5.0578117370605469E-3</v>
      </c>
      <c r="H72" s="40">
        <v>4.8139395787409194E-4</v>
      </c>
      <c r="I72" s="40">
        <v>1.4665506815756282</v>
      </c>
      <c r="J72" s="59">
        <v>0</v>
      </c>
      <c r="K72" s="59">
        <v>6071.8460008502007</v>
      </c>
      <c r="L72" s="59">
        <v>0</v>
      </c>
      <c r="M72" s="11">
        <v>0.85751593112945557</v>
      </c>
      <c r="N72" s="11">
        <v>0.73952072858810425</v>
      </c>
      <c r="O72" s="11">
        <v>0.26811385154724121</v>
      </c>
      <c r="Q72" s="59">
        <v>14.496548042826802</v>
      </c>
      <c r="R72" s="78">
        <v>513.0501035709093</v>
      </c>
      <c r="S72" s="78">
        <v>14.548458056073821</v>
      </c>
      <c r="T72" s="78">
        <v>605.92342419659087</v>
      </c>
      <c r="U72" s="78">
        <v>5.1910013247018938E-2</v>
      </c>
      <c r="V72" s="78">
        <v>92.873320625681572</v>
      </c>
      <c r="X72" s="28">
        <f t="shared" si="4"/>
        <v>31379.355590648054</v>
      </c>
      <c r="Y72" s="28">
        <f t="shared" si="5"/>
        <v>31400.684299165816</v>
      </c>
      <c r="Z72" s="28">
        <f t="shared" si="8"/>
        <v>21.328708517760091</v>
      </c>
      <c r="AB72">
        <f t="shared" si="6"/>
        <v>0</v>
      </c>
      <c r="AC72">
        <f t="shared" si="7"/>
        <v>1</v>
      </c>
      <c r="AD72">
        <f t="shared" si="9"/>
        <v>1</v>
      </c>
      <c r="AK72" s="28">
        <f t="shared" si="10"/>
        <v>31400.684299165816</v>
      </c>
      <c r="AS72" s="28"/>
      <c r="AT72" s="28"/>
      <c r="AU72" s="28"/>
    </row>
    <row r="73" spans="1:47" x14ac:dyDescent="0.15">
      <c r="A73">
        <v>68</v>
      </c>
      <c r="C73" s="11">
        <v>3.3816397190093994E-2</v>
      </c>
      <c r="D73" s="11">
        <v>3.7906289100646973E-2</v>
      </c>
      <c r="E73" s="11">
        <v>0.39497832246098813</v>
      </c>
      <c r="F73" s="11">
        <v>0</v>
      </c>
      <c r="G73" s="11">
        <v>5.4858505725860596E-2</v>
      </c>
      <c r="H73" s="40">
        <v>4.5461379573613218E-4</v>
      </c>
      <c r="I73" s="40">
        <v>1.3777609171932683</v>
      </c>
      <c r="J73" s="59">
        <v>0</v>
      </c>
      <c r="K73" s="59">
        <v>5550.1610040664673</v>
      </c>
      <c r="L73" s="59">
        <v>0</v>
      </c>
      <c r="M73" s="11">
        <v>0.80391693115234375</v>
      </c>
      <c r="N73" s="11">
        <v>0.72958999872207642</v>
      </c>
      <c r="O73" s="11">
        <v>0.26811271905899048</v>
      </c>
      <c r="Q73" s="59">
        <v>13.672780308635371</v>
      </c>
      <c r="R73" s="78">
        <v>498.81593313224624</v>
      </c>
      <c r="S73" s="78">
        <v>13.701071095445265</v>
      </c>
      <c r="T73" s="78">
        <v>620.76358372259836</v>
      </c>
      <c r="U73" s="78">
        <v>2.8290786809893831E-2</v>
      </c>
      <c r="V73" s="78">
        <v>121.94765059035211</v>
      </c>
      <c r="X73" s="28">
        <f t="shared" si="4"/>
        <v>29581.30074586557</v>
      </c>
      <c r="Y73" s="28">
        <f t="shared" si="5"/>
        <v>29521.592826256987</v>
      </c>
      <c r="Z73" s="28">
        <f t="shared" si="8"/>
        <v>-59.707919608585684</v>
      </c>
      <c r="AB73">
        <f t="shared" si="6"/>
        <v>1</v>
      </c>
      <c r="AC73">
        <f t="shared" si="7"/>
        <v>0</v>
      </c>
      <c r="AD73">
        <f t="shared" si="9"/>
        <v>0</v>
      </c>
      <c r="AK73" s="28">
        <f t="shared" si="10"/>
        <v>29581.30074586557</v>
      </c>
      <c r="AS73" s="28"/>
      <c r="AT73" s="28"/>
      <c r="AU73" s="28"/>
    </row>
    <row r="74" spans="1:47" x14ac:dyDescent="0.15">
      <c r="A74">
        <v>69</v>
      </c>
      <c r="C74" s="11">
        <v>3.2947361469268799E-2</v>
      </c>
      <c r="D74" s="11">
        <v>9.6795111894607544E-3</v>
      </c>
      <c r="E74" s="11">
        <v>0.18900017205207201</v>
      </c>
      <c r="F74" s="11">
        <v>0</v>
      </c>
      <c r="G74" s="11">
        <v>2.4984627962112427E-2</v>
      </c>
      <c r="H74" s="40">
        <v>4.4807024735135176E-4</v>
      </c>
      <c r="I74" s="40">
        <v>1.4312664760032443</v>
      </c>
      <c r="J74" s="59">
        <v>0</v>
      </c>
      <c r="K74" s="59">
        <v>4787.9782505333424</v>
      </c>
      <c r="L74" s="59">
        <v>0</v>
      </c>
      <c r="M74" s="11">
        <v>0.81969821453094482</v>
      </c>
      <c r="N74" s="11">
        <v>0.78940719366073608</v>
      </c>
      <c r="O74" s="11">
        <v>0.29900407791137695</v>
      </c>
      <c r="Q74" s="59">
        <v>13.971827118436979</v>
      </c>
      <c r="R74" s="78">
        <v>484.03413486059037</v>
      </c>
      <c r="S74" s="78">
        <v>13.996006362198008</v>
      </c>
      <c r="T74" s="78">
        <v>596.26153382639711</v>
      </c>
      <c r="U74" s="78">
        <v>2.4179243761029312E-2</v>
      </c>
      <c r="V74" s="78">
        <v>112.22739896580674</v>
      </c>
      <c r="X74" s="28">
        <f t="shared" ref="X74:X105" si="11">Q74*cRatio-R74</f>
        <v>30253.985525700762</v>
      </c>
      <c r="Y74" s="28">
        <f t="shared" ref="Y74:Y105" si="12">S74*cRatio-T74</f>
        <v>30194.95246300922</v>
      </c>
      <c r="Z74" s="28">
        <f t="shared" si="8"/>
        <v>-59.033062691542256</v>
      </c>
      <c r="AB74">
        <f t="shared" ref="AB74:AB105" si="13">IF(MAX(X74:Y74)=X74,1,0)</f>
        <v>1</v>
      </c>
      <c r="AC74">
        <f t="shared" ref="AC74:AC105" si="14">IF(MAX(X74:Y74)=Y74,1,0)</f>
        <v>0</v>
      </c>
      <c r="AD74">
        <f t="shared" si="9"/>
        <v>0</v>
      </c>
      <c r="AK74" s="28">
        <f t="shared" si="10"/>
        <v>30253.985525700762</v>
      </c>
      <c r="AS74" s="28"/>
      <c r="AT74" s="28"/>
      <c r="AU74" s="28"/>
    </row>
    <row r="75" spans="1:47" x14ac:dyDescent="0.15">
      <c r="A75">
        <v>70</v>
      </c>
      <c r="C75" s="11">
        <v>9.0789645910263062E-3</v>
      </c>
      <c r="D75" s="11">
        <v>1.0699048638343811E-2</v>
      </c>
      <c r="E75" s="11">
        <v>0.19408518930638788</v>
      </c>
      <c r="F75" s="11">
        <v>0</v>
      </c>
      <c r="G75" s="11">
        <v>5.7172060012817383E-2</v>
      </c>
      <c r="H75" s="40">
        <v>5.0912158830534711E-4</v>
      </c>
      <c r="I75" s="40">
        <v>1.5443100422484881</v>
      </c>
      <c r="J75" s="59">
        <v>0</v>
      </c>
      <c r="K75" s="59">
        <v>4464.2481952905655</v>
      </c>
      <c r="L75" s="59">
        <v>0</v>
      </c>
      <c r="M75" s="11">
        <v>0.86018496751785278</v>
      </c>
      <c r="N75" s="11">
        <v>0.76236158609390259</v>
      </c>
      <c r="O75" s="11">
        <v>0.31747466325759888</v>
      </c>
      <c r="Q75" s="59">
        <v>14.968972629058355</v>
      </c>
      <c r="R75" s="78">
        <v>552.56077608205476</v>
      </c>
      <c r="S75" s="78">
        <v>15.038637630029413</v>
      </c>
      <c r="T75" s="78">
        <v>610.49376776831502</v>
      </c>
      <c r="U75" s="78">
        <v>6.9665000971058433E-2</v>
      </c>
      <c r="V75" s="78">
        <v>57.932991686260266</v>
      </c>
      <c r="X75" s="28">
        <f t="shared" si="11"/>
        <v>32379.179007846327</v>
      </c>
      <c r="Y75" s="28">
        <f t="shared" si="12"/>
        <v>32474.509018296394</v>
      </c>
      <c r="Z75" s="28">
        <f t="shared" si="8"/>
        <v>95.330010450068301</v>
      </c>
      <c r="AB75">
        <f t="shared" si="13"/>
        <v>0</v>
      </c>
      <c r="AC75">
        <f t="shared" si="14"/>
        <v>1</v>
      </c>
      <c r="AD75">
        <f t="shared" si="9"/>
        <v>1</v>
      </c>
      <c r="AK75" s="28">
        <f t="shared" si="10"/>
        <v>32474.509018296394</v>
      </c>
      <c r="AS75" s="28"/>
      <c r="AT75" s="28"/>
      <c r="AU75" s="28"/>
    </row>
    <row r="76" spans="1:47" x14ac:dyDescent="0.15">
      <c r="A76">
        <v>71</v>
      </c>
      <c r="C76" s="11">
        <v>9.1142952442169189E-3</v>
      </c>
      <c r="D76" s="11">
        <v>2.4604380130767822E-2</v>
      </c>
      <c r="E76" s="11">
        <v>0.21918374050537259</v>
      </c>
      <c r="F76" s="11">
        <v>0</v>
      </c>
      <c r="G76" s="11">
        <v>1.808735728263855E-2</v>
      </c>
      <c r="H76" s="40">
        <v>5.0635344420582238E-4</v>
      </c>
      <c r="I76" s="40">
        <v>1.4359421516404534</v>
      </c>
      <c r="J76" s="59">
        <v>0</v>
      </c>
      <c r="K76" s="59">
        <v>6023.6849822103977</v>
      </c>
      <c r="L76" s="59">
        <v>0</v>
      </c>
      <c r="M76" s="11">
        <v>0.82259571552276611</v>
      </c>
      <c r="N76" s="11">
        <v>0.84810256958007812</v>
      </c>
      <c r="O76" s="11">
        <v>0.28742030262947083</v>
      </c>
      <c r="Q76" s="59">
        <v>14.376181856067429</v>
      </c>
      <c r="R76" s="78">
        <v>521.08401287387221</v>
      </c>
      <c r="S76" s="78">
        <v>14.392766271104335</v>
      </c>
      <c r="T76" s="78">
        <v>607.30189041227925</v>
      </c>
      <c r="U76" s="78">
        <v>1.6584415036906108E-2</v>
      </c>
      <c r="V76" s="78">
        <v>86.217877538407038</v>
      </c>
      <c r="X76" s="28">
        <f t="shared" si="11"/>
        <v>31106.516070474474</v>
      </c>
      <c r="Y76" s="28">
        <f t="shared" si="12"/>
        <v>31056.783906017259</v>
      </c>
      <c r="Z76" s="28">
        <f t="shared" si="8"/>
        <v>-49.732164457213599</v>
      </c>
      <c r="AB76">
        <f t="shared" si="13"/>
        <v>1</v>
      </c>
      <c r="AC76">
        <f t="shared" si="14"/>
        <v>0</v>
      </c>
      <c r="AD76">
        <f t="shared" si="9"/>
        <v>0</v>
      </c>
      <c r="AK76" s="28">
        <f t="shared" si="10"/>
        <v>31106.516070474474</v>
      </c>
      <c r="AS76" s="28"/>
      <c r="AT76" s="28"/>
      <c r="AU76" s="28"/>
    </row>
    <row r="77" spans="1:47" x14ac:dyDescent="0.15">
      <c r="A77">
        <v>72</v>
      </c>
      <c r="C77" s="11">
        <v>1.1694788932800293E-2</v>
      </c>
      <c r="D77" s="11">
        <v>3.4543633460998535E-2</v>
      </c>
      <c r="E77" s="11">
        <v>0.35168743457096496</v>
      </c>
      <c r="F77" s="11">
        <v>0</v>
      </c>
      <c r="G77" s="11">
        <v>4.8281013965606689E-2</v>
      </c>
      <c r="H77" s="40">
        <v>6.3248318936580969E-4</v>
      </c>
      <c r="I77" s="40">
        <v>1.2864684316761539</v>
      </c>
      <c r="J77" s="59">
        <v>0</v>
      </c>
      <c r="K77" s="59">
        <v>5101.1331379413605</v>
      </c>
      <c r="L77" s="59">
        <v>0</v>
      </c>
      <c r="M77" s="11">
        <v>0.86123019456863403</v>
      </c>
      <c r="N77" s="11">
        <v>0.70580446720123291</v>
      </c>
      <c r="O77" s="11">
        <v>0.29889896512031555</v>
      </c>
      <c r="Q77" s="59">
        <v>14.964077697117574</v>
      </c>
      <c r="R77" s="78">
        <v>495.96955610567056</v>
      </c>
      <c r="S77" s="78">
        <v>15.009466296320731</v>
      </c>
      <c r="T77" s="78">
        <v>615.20528025246529</v>
      </c>
      <c r="U77" s="78">
        <v>4.5388599203157298E-2</v>
      </c>
      <c r="V77" s="78">
        <v>119.23572414679472</v>
      </c>
      <c r="X77" s="28">
        <f t="shared" si="11"/>
        <v>32425.001377552988</v>
      </c>
      <c r="Y77" s="28">
        <f t="shared" si="12"/>
        <v>32405.620571653144</v>
      </c>
      <c r="Z77" s="28">
        <f t="shared" si="8"/>
        <v>-19.380805899848667</v>
      </c>
      <c r="AB77">
        <f t="shared" si="13"/>
        <v>1</v>
      </c>
      <c r="AC77">
        <f t="shared" si="14"/>
        <v>0</v>
      </c>
      <c r="AD77">
        <f t="shared" si="9"/>
        <v>0</v>
      </c>
      <c r="AK77" s="28">
        <f t="shared" si="10"/>
        <v>32425.001377552988</v>
      </c>
      <c r="AS77" s="28"/>
      <c r="AT77" s="28"/>
      <c r="AU77" s="28"/>
    </row>
    <row r="78" spans="1:47" x14ac:dyDescent="0.15">
      <c r="A78">
        <v>73</v>
      </c>
      <c r="C78" s="11">
        <v>5.456879734992981E-3</v>
      </c>
      <c r="D78" s="11">
        <v>1.3875365257263184E-3</v>
      </c>
      <c r="E78" s="11">
        <v>0.25962055115978588</v>
      </c>
      <c r="F78" s="11">
        <v>0</v>
      </c>
      <c r="G78" s="11">
        <v>4.4719994068145752E-2</v>
      </c>
      <c r="H78" s="40">
        <v>2.7545448818315325E-4</v>
      </c>
      <c r="I78" s="40">
        <v>1.540273933561358</v>
      </c>
      <c r="J78" s="59">
        <v>0</v>
      </c>
      <c r="K78" s="59">
        <v>3095.2505767345428</v>
      </c>
      <c r="L78" s="59">
        <v>0</v>
      </c>
      <c r="M78" s="11">
        <v>0.84095561504364014</v>
      </c>
      <c r="N78" s="11">
        <v>0.73624533414840698</v>
      </c>
      <c r="O78" s="11">
        <v>0.28664129972457886</v>
      </c>
      <c r="Q78" s="59">
        <v>14.727471927929903</v>
      </c>
      <c r="R78" s="78">
        <v>450.54283621724238</v>
      </c>
      <c r="S78" s="78">
        <v>14.761184465887224</v>
      </c>
      <c r="T78" s="78">
        <v>593.84983293632945</v>
      </c>
      <c r="U78" s="78">
        <v>3.3712537957320876E-2</v>
      </c>
      <c r="V78" s="78">
        <v>143.30699671908707</v>
      </c>
      <c r="X78" s="28">
        <f t="shared" si="11"/>
        <v>31949.895405228544</v>
      </c>
      <c r="Y78" s="28">
        <f t="shared" si="12"/>
        <v>31880.755992015565</v>
      </c>
      <c r="Z78" s="28">
        <f t="shared" si="8"/>
        <v>-69.13941321298114</v>
      </c>
      <c r="AB78">
        <f t="shared" si="13"/>
        <v>1</v>
      </c>
      <c r="AC78">
        <f t="shared" si="14"/>
        <v>0</v>
      </c>
      <c r="AD78">
        <f t="shared" si="9"/>
        <v>0</v>
      </c>
      <c r="AK78" s="28">
        <f t="shared" si="10"/>
        <v>31949.895405228544</v>
      </c>
      <c r="AS78" s="28"/>
      <c r="AT78" s="28"/>
      <c r="AU78" s="28"/>
    </row>
    <row r="79" spans="1:47" x14ac:dyDescent="0.15">
      <c r="A79">
        <v>74</v>
      </c>
      <c r="C79" s="11">
        <v>1.7339140176773071E-2</v>
      </c>
      <c r="D79" s="11">
        <v>2.5747954845428467E-2</v>
      </c>
      <c r="E79" s="11">
        <v>0.2127219860761366</v>
      </c>
      <c r="F79" s="11">
        <v>0</v>
      </c>
      <c r="G79" s="11">
        <v>2.3239582777023315E-2</v>
      </c>
      <c r="H79" s="40">
        <v>4.0445578346230926E-4</v>
      </c>
      <c r="I79" s="40">
        <v>1.4524143117424166</v>
      </c>
      <c r="J79" s="59">
        <v>0</v>
      </c>
      <c r="K79" s="59">
        <v>5663.9197282493114</v>
      </c>
      <c r="L79" s="59">
        <v>0</v>
      </c>
      <c r="M79" s="11">
        <v>0.82519817352294922</v>
      </c>
      <c r="N79" s="11">
        <v>0.73241651058197021</v>
      </c>
      <c r="O79" s="11">
        <v>0.29267001152038574</v>
      </c>
      <c r="Q79" s="59">
        <v>14.273073256702887</v>
      </c>
      <c r="R79" s="78">
        <v>496.70239387890842</v>
      </c>
      <c r="S79" s="78">
        <v>14.31238384957614</v>
      </c>
      <c r="T79" s="78">
        <v>601.14460045279611</v>
      </c>
      <c r="U79" s="78">
        <v>3.9310592873253114E-2</v>
      </c>
      <c r="V79" s="78">
        <v>104.44220657388769</v>
      </c>
      <c r="X79" s="28">
        <f t="shared" si="11"/>
        <v>30904.058770867439</v>
      </c>
      <c r="Y79" s="28">
        <f t="shared" si="12"/>
        <v>30886.09986861471</v>
      </c>
      <c r="Z79" s="28">
        <f t="shared" si="8"/>
        <v>-17.958902252730837</v>
      </c>
      <c r="AB79">
        <f t="shared" si="13"/>
        <v>1</v>
      </c>
      <c r="AC79">
        <f t="shared" si="14"/>
        <v>0</v>
      </c>
      <c r="AD79">
        <f t="shared" si="9"/>
        <v>0</v>
      </c>
      <c r="AK79" s="28">
        <f t="shared" si="10"/>
        <v>30904.058770867439</v>
      </c>
      <c r="AS79" s="28"/>
      <c r="AT79" s="28"/>
      <c r="AU79" s="28"/>
    </row>
    <row r="80" spans="1:47" x14ac:dyDescent="0.15">
      <c r="A80">
        <v>75</v>
      </c>
      <c r="C80" s="11">
        <v>6.7077875137329102E-3</v>
      </c>
      <c r="D80" s="11">
        <v>2.070164680480957E-2</v>
      </c>
      <c r="E80" s="11">
        <v>0.28717208899634633</v>
      </c>
      <c r="F80" s="11">
        <v>0</v>
      </c>
      <c r="G80" s="11">
        <v>7.380831241607666E-2</v>
      </c>
      <c r="H80" s="40">
        <v>7.0973082447500942E-4</v>
      </c>
      <c r="I80" s="40">
        <v>1.4618944936868381</v>
      </c>
      <c r="J80" s="59">
        <v>0</v>
      </c>
      <c r="K80" s="59">
        <v>5252.5126375257969</v>
      </c>
      <c r="L80" s="59">
        <v>0</v>
      </c>
      <c r="M80" s="11">
        <v>0.86525291204452515</v>
      </c>
      <c r="N80" s="11">
        <v>0.75527507066726685</v>
      </c>
      <c r="O80" s="11">
        <v>0.33700323104858398</v>
      </c>
      <c r="Q80" s="59">
        <v>15.072848099401595</v>
      </c>
      <c r="R80" s="78">
        <v>612.84026381536546</v>
      </c>
      <c r="S80" s="78">
        <v>15.14912441657555</v>
      </c>
      <c r="T80" s="78">
        <v>643.18272728907607</v>
      </c>
      <c r="U80" s="78">
        <v>7.6276317173954666E-2</v>
      </c>
      <c r="V80" s="78">
        <v>30.342463473710609</v>
      </c>
      <c r="X80" s="28">
        <f t="shared" si="11"/>
        <v>32547.425554868147</v>
      </c>
      <c r="Y80" s="28">
        <f t="shared" si="12"/>
        <v>32684.890989177129</v>
      </c>
      <c r="Z80" s="28">
        <f t="shared" si="8"/>
        <v>137.46543430898964</v>
      </c>
      <c r="AB80">
        <f t="shared" si="13"/>
        <v>0</v>
      </c>
      <c r="AC80">
        <f t="shared" si="14"/>
        <v>1</v>
      </c>
      <c r="AD80">
        <f t="shared" si="9"/>
        <v>1</v>
      </c>
      <c r="AK80" s="28">
        <f t="shared" si="10"/>
        <v>32684.890989177129</v>
      </c>
      <c r="AS80" s="28"/>
      <c r="AT80" s="28"/>
      <c r="AU80" s="28"/>
    </row>
    <row r="81" spans="1:47" x14ac:dyDescent="0.15">
      <c r="A81">
        <v>76</v>
      </c>
      <c r="C81" s="11">
        <v>4.0650665760040283E-3</v>
      </c>
      <c r="D81" s="11">
        <v>1.6886457800865173E-2</v>
      </c>
      <c r="E81" s="11">
        <v>8.7870378849638039E-2</v>
      </c>
      <c r="F81" s="11">
        <v>0</v>
      </c>
      <c r="G81" s="11">
        <v>5.227312445640564E-2</v>
      </c>
      <c r="H81" s="40">
        <v>5.4735761162387063E-4</v>
      </c>
      <c r="I81" s="40">
        <v>1.483725050908854</v>
      </c>
      <c r="J81" s="59">
        <v>0</v>
      </c>
      <c r="K81" s="59">
        <v>8986.9648218154907</v>
      </c>
      <c r="L81" s="59">
        <v>0</v>
      </c>
      <c r="M81" s="11">
        <v>0.84119290113449097</v>
      </c>
      <c r="N81" s="11">
        <v>0.72195768356323242</v>
      </c>
      <c r="O81" s="11">
        <v>0.34453296661376953</v>
      </c>
      <c r="Q81" s="59">
        <v>14.712618127423987</v>
      </c>
      <c r="R81" s="78">
        <v>676.813865612477</v>
      </c>
      <c r="S81" s="78">
        <v>14.790364235779776</v>
      </c>
      <c r="T81" s="78">
        <v>604.4270260204778</v>
      </c>
      <c r="U81" s="78">
        <v>7.7746108355789545E-2</v>
      </c>
      <c r="V81" s="78">
        <v>-72.386839591999205</v>
      </c>
      <c r="X81" s="28">
        <f t="shared" si="11"/>
        <v>31690.946014720295</v>
      </c>
      <c r="Y81" s="28">
        <f t="shared" si="12"/>
        <v>31934.374292695029</v>
      </c>
      <c r="Z81" s="28">
        <f t="shared" si="8"/>
        <v>243.4282779747362</v>
      </c>
      <c r="AB81">
        <f t="shared" si="13"/>
        <v>0</v>
      </c>
      <c r="AC81">
        <f t="shared" si="14"/>
        <v>1</v>
      </c>
      <c r="AD81">
        <f t="shared" si="9"/>
        <v>1</v>
      </c>
      <c r="AK81" s="28">
        <f t="shared" si="10"/>
        <v>31934.374292695029</v>
      </c>
      <c r="AS81" s="28"/>
      <c r="AT81" s="28"/>
      <c r="AU81" s="28"/>
    </row>
    <row r="82" spans="1:47" x14ac:dyDescent="0.15">
      <c r="A82">
        <v>77</v>
      </c>
      <c r="C82" s="11">
        <v>4.869610071182251E-3</v>
      </c>
      <c r="D82" s="11">
        <v>3.236466646194458E-2</v>
      </c>
      <c r="E82" s="11">
        <v>0.29916427381677746</v>
      </c>
      <c r="F82" s="11">
        <v>0</v>
      </c>
      <c r="G82" s="11">
        <v>3.1603127717971802E-2</v>
      </c>
      <c r="H82" s="40">
        <v>4.2299011005118625E-4</v>
      </c>
      <c r="I82" s="40">
        <v>1.4176205552184524</v>
      </c>
      <c r="J82" s="59">
        <v>0</v>
      </c>
      <c r="K82" s="59">
        <v>3375.1269802451134</v>
      </c>
      <c r="L82" s="59">
        <v>0</v>
      </c>
      <c r="M82" s="11">
        <v>0.82403618097305298</v>
      </c>
      <c r="N82" s="11">
        <v>0.72680068016052246</v>
      </c>
      <c r="O82" s="11">
        <v>0.30252712965011597</v>
      </c>
      <c r="Q82" s="59">
        <v>14.433232578905502</v>
      </c>
      <c r="R82" s="78">
        <v>455.27520085696563</v>
      </c>
      <c r="S82" s="78">
        <v>14.469000834129977</v>
      </c>
      <c r="T82" s="78">
        <v>597.53509256683196</v>
      </c>
      <c r="U82" s="78">
        <v>3.5768255224475354E-2</v>
      </c>
      <c r="V82" s="78">
        <v>142.25989170986634</v>
      </c>
      <c r="X82" s="28">
        <f t="shared" si="11"/>
        <v>31297.836472735136</v>
      </c>
      <c r="Y82" s="28">
        <f t="shared" si="12"/>
        <v>31234.266742519118</v>
      </c>
      <c r="Z82" s="28">
        <f t="shared" si="8"/>
        <v>-63.56973021602056</v>
      </c>
      <c r="AB82">
        <f t="shared" si="13"/>
        <v>1</v>
      </c>
      <c r="AC82">
        <f t="shared" si="14"/>
        <v>0</v>
      </c>
      <c r="AD82">
        <f t="shared" si="9"/>
        <v>0</v>
      </c>
      <c r="AK82" s="28">
        <f t="shared" si="10"/>
        <v>31297.836472735136</v>
      </c>
      <c r="AS82" s="28"/>
      <c r="AT82" s="28"/>
      <c r="AU82" s="28"/>
    </row>
    <row r="83" spans="1:47" x14ac:dyDescent="0.15">
      <c r="A83">
        <v>78</v>
      </c>
      <c r="C83" s="11">
        <v>1.2018322944641113E-2</v>
      </c>
      <c r="D83" s="11">
        <v>1.4548122882843018E-2</v>
      </c>
      <c r="E83" s="11">
        <v>0.19574935394693599</v>
      </c>
      <c r="F83" s="11">
        <v>0</v>
      </c>
      <c r="G83" s="11">
        <v>3.7520766258239746E-2</v>
      </c>
      <c r="H83" s="40">
        <v>5.3414012374717939E-4</v>
      </c>
      <c r="I83" s="40">
        <v>1.4287435053937143</v>
      </c>
      <c r="J83" s="59">
        <v>0</v>
      </c>
      <c r="K83" s="59">
        <v>6984.6119731664658</v>
      </c>
      <c r="L83" s="59">
        <v>0</v>
      </c>
      <c r="M83" s="11">
        <v>0.84438276290893555</v>
      </c>
      <c r="N83" s="11">
        <v>0.75939565896987915</v>
      </c>
      <c r="O83" s="11">
        <v>0.29313188791275024</v>
      </c>
      <c r="Q83" s="59">
        <v>14.676401989241569</v>
      </c>
      <c r="R83" s="78">
        <v>563.35476298273034</v>
      </c>
      <c r="S83" s="78">
        <v>14.723761273978452</v>
      </c>
      <c r="T83" s="78">
        <v>612.70292359930534</v>
      </c>
      <c r="U83" s="78">
        <v>4.7359284736883112E-2</v>
      </c>
      <c r="V83" s="78">
        <v>49.348160616575001</v>
      </c>
      <c r="X83" s="28">
        <f t="shared" si="11"/>
        <v>31724.729613348722</v>
      </c>
      <c r="Y83" s="28">
        <f t="shared" si="12"/>
        <v>31779.571879153289</v>
      </c>
      <c r="Z83" s="28">
        <f t="shared" si="8"/>
        <v>54.842265804567845</v>
      </c>
      <c r="AB83">
        <f t="shared" si="13"/>
        <v>0</v>
      </c>
      <c r="AC83">
        <f t="shared" si="14"/>
        <v>1</v>
      </c>
      <c r="AD83">
        <f t="shared" si="9"/>
        <v>1</v>
      </c>
      <c r="AK83" s="28">
        <f t="shared" si="10"/>
        <v>31779.571879153289</v>
      </c>
      <c r="AS83" s="28"/>
      <c r="AT83" s="28"/>
      <c r="AU83" s="28"/>
    </row>
    <row r="84" spans="1:47" x14ac:dyDescent="0.15">
      <c r="A84">
        <v>79</v>
      </c>
      <c r="C84" s="11">
        <v>3.9375126361846924E-2</v>
      </c>
      <c r="D84" s="11">
        <v>8.3870440721511841E-3</v>
      </c>
      <c r="E84" s="11">
        <v>0.14130878935215238</v>
      </c>
      <c r="F84" s="11">
        <v>0</v>
      </c>
      <c r="G84" s="11">
        <v>6.9634914398193359E-2</v>
      </c>
      <c r="H84" s="40">
        <v>3.5393784118389226E-4</v>
      </c>
      <c r="I84" s="40">
        <v>1.4667555969283761</v>
      </c>
      <c r="J84" s="59">
        <v>0</v>
      </c>
      <c r="K84" s="59">
        <v>5410.9189659357071</v>
      </c>
      <c r="L84" s="59">
        <v>0</v>
      </c>
      <c r="M84" s="11">
        <v>0.8397635817527771</v>
      </c>
      <c r="N84" s="11">
        <v>0.74840956926345825</v>
      </c>
      <c r="O84" s="11">
        <v>0.27435791492462158</v>
      </c>
      <c r="Q84" s="59">
        <v>14.201990955136891</v>
      </c>
      <c r="R84" s="78">
        <v>504.60543570088544</v>
      </c>
      <c r="S84" s="78">
        <v>14.242397553507825</v>
      </c>
      <c r="T84" s="78">
        <v>594.83436518549979</v>
      </c>
      <c r="U84" s="78">
        <v>4.0406598370934077E-2</v>
      </c>
      <c r="V84" s="78">
        <v>90.228929484614355</v>
      </c>
      <c r="X84" s="28">
        <f t="shared" si="11"/>
        <v>30739.774665600271</v>
      </c>
      <c r="Y84" s="28">
        <f t="shared" si="12"/>
        <v>30738.440252531716</v>
      </c>
      <c r="Z84" s="28">
        <f t="shared" si="8"/>
        <v>-1.3344130685593854</v>
      </c>
      <c r="AB84">
        <f t="shared" si="13"/>
        <v>1</v>
      </c>
      <c r="AC84">
        <f t="shared" si="14"/>
        <v>0</v>
      </c>
      <c r="AD84">
        <f t="shared" si="9"/>
        <v>0</v>
      </c>
      <c r="AK84" s="28">
        <f t="shared" si="10"/>
        <v>30739.774665600271</v>
      </c>
      <c r="AS84" s="28"/>
      <c r="AT84" s="28"/>
      <c r="AU84" s="28"/>
    </row>
    <row r="85" spans="1:47" x14ac:dyDescent="0.15">
      <c r="A85">
        <v>80</v>
      </c>
      <c r="C85" s="11">
        <v>1.1783525347709656E-2</v>
      </c>
      <c r="D85" s="11">
        <v>7.5116604566574097E-3</v>
      </c>
      <c r="E85" s="11">
        <v>0.28734845198225806</v>
      </c>
      <c r="F85" s="11">
        <v>0</v>
      </c>
      <c r="G85" s="11">
        <v>3.3373430371284485E-2</v>
      </c>
      <c r="H85" s="40">
        <v>6.3710909862012169E-4</v>
      </c>
      <c r="I85" s="40">
        <v>1.3615980933674252</v>
      </c>
      <c r="J85" s="59">
        <v>0</v>
      </c>
      <c r="K85" s="59">
        <v>4831.0752026736736</v>
      </c>
      <c r="L85" s="59">
        <v>0</v>
      </c>
      <c r="M85" s="11">
        <v>0.78170585632324219</v>
      </c>
      <c r="N85" s="11">
        <v>0.83242321014404297</v>
      </c>
      <c r="O85" s="11">
        <v>0.25434267520904541</v>
      </c>
      <c r="Q85" s="59">
        <v>13.635144326266371</v>
      </c>
      <c r="R85" s="78">
        <v>506.59082222072476</v>
      </c>
      <c r="S85" s="78">
        <v>13.642112361424507</v>
      </c>
      <c r="T85" s="78">
        <v>611.80423672021561</v>
      </c>
      <c r="U85" s="78">
        <v>6.9680351581364874E-3</v>
      </c>
      <c r="V85" s="78">
        <v>105.21341449949085</v>
      </c>
      <c r="X85" s="28">
        <f t="shared" si="11"/>
        <v>29490.726695565289</v>
      </c>
      <c r="Y85" s="28">
        <f t="shared" si="12"/>
        <v>29400.842958413701</v>
      </c>
      <c r="Z85" s="28">
        <f t="shared" si="8"/>
        <v>-89.88373715159058</v>
      </c>
      <c r="AB85">
        <f t="shared" si="13"/>
        <v>1</v>
      </c>
      <c r="AC85">
        <f t="shared" si="14"/>
        <v>0</v>
      </c>
      <c r="AD85">
        <f t="shared" si="9"/>
        <v>0</v>
      </c>
      <c r="AK85" s="28">
        <f t="shared" si="10"/>
        <v>29490.726695565289</v>
      </c>
      <c r="AS85" s="28"/>
      <c r="AT85" s="28"/>
      <c r="AU85" s="28"/>
    </row>
    <row r="86" spans="1:47" x14ac:dyDescent="0.15">
      <c r="A86">
        <v>81</v>
      </c>
      <c r="C86" s="11">
        <v>2.286866307258606E-2</v>
      </c>
      <c r="D86" s="11">
        <v>1.6064941883087158E-2</v>
      </c>
      <c r="E86" s="11">
        <v>0.31026194012938324</v>
      </c>
      <c r="F86" s="11">
        <v>0</v>
      </c>
      <c r="G86" s="11">
        <v>2.8531879186630249E-2</v>
      </c>
      <c r="H86" s="40">
        <v>5.3553804744858858E-4</v>
      </c>
      <c r="I86" s="40">
        <v>1.4057052048394518</v>
      </c>
      <c r="J86" s="59">
        <v>0</v>
      </c>
      <c r="K86" s="59">
        <v>6877.4493411183357</v>
      </c>
      <c r="L86" s="59">
        <v>0</v>
      </c>
      <c r="M86" s="11">
        <v>0.77329826354980469</v>
      </c>
      <c r="N86" s="11">
        <v>0.77223002910614014</v>
      </c>
      <c r="O86" s="11">
        <v>0.28275558352470398</v>
      </c>
      <c r="Q86" s="59">
        <v>13.321334249558577</v>
      </c>
      <c r="R86" s="78">
        <v>541.39989325844704</v>
      </c>
      <c r="S86" s="78">
        <v>13.338796166884821</v>
      </c>
      <c r="T86" s="78">
        <v>625.34112672980302</v>
      </c>
      <c r="U86" s="78">
        <v>1.7461917326244247E-2</v>
      </c>
      <c r="V86" s="78">
        <v>83.941233471355986</v>
      </c>
      <c r="X86" s="28">
        <f t="shared" si="11"/>
        <v>28765.535455770423</v>
      </c>
      <c r="Y86" s="28">
        <f t="shared" si="12"/>
        <v>28720.010440416801</v>
      </c>
      <c r="Z86" s="28">
        <f t="shared" si="8"/>
        <v>-45.525015353618642</v>
      </c>
      <c r="AB86">
        <f t="shared" si="13"/>
        <v>1</v>
      </c>
      <c r="AC86">
        <f t="shared" si="14"/>
        <v>0</v>
      </c>
      <c r="AD86">
        <f t="shared" si="9"/>
        <v>0</v>
      </c>
      <c r="AK86" s="28">
        <f t="shared" si="10"/>
        <v>28765.535455770423</v>
      </c>
      <c r="AS86" s="28"/>
      <c r="AT86" s="28"/>
      <c r="AU86" s="28"/>
    </row>
    <row r="87" spans="1:47" x14ac:dyDescent="0.15">
      <c r="A87">
        <v>82</v>
      </c>
      <c r="C87" s="11">
        <v>1.3697132468223572E-2</v>
      </c>
      <c r="D87" s="11">
        <v>2.5594502687454224E-2</v>
      </c>
      <c r="E87" s="11">
        <v>0.1791071075953585</v>
      </c>
      <c r="F87" s="11">
        <v>0</v>
      </c>
      <c r="G87" s="11">
        <v>4.0572464466094971E-2</v>
      </c>
      <c r="H87" s="40">
        <v>5.038996579241463E-4</v>
      </c>
      <c r="I87" s="40">
        <v>1.3879014740913032</v>
      </c>
      <c r="J87" s="59">
        <v>0</v>
      </c>
      <c r="K87" s="59">
        <v>4526.4209620654583</v>
      </c>
      <c r="L87" s="59">
        <v>0</v>
      </c>
      <c r="M87" s="11">
        <v>0.81170761585235596</v>
      </c>
      <c r="N87" s="11">
        <v>0.73392307758331299</v>
      </c>
      <c r="O87" s="11">
        <v>0.27282696962356567</v>
      </c>
      <c r="Q87" s="59">
        <v>14.091023828070442</v>
      </c>
      <c r="R87" s="78">
        <v>487.22412768352723</v>
      </c>
      <c r="S87" s="78">
        <v>14.132129601689885</v>
      </c>
      <c r="T87" s="78">
        <v>595.92880674132493</v>
      </c>
      <c r="U87" s="78">
        <v>4.1105773619442232E-2</v>
      </c>
      <c r="V87" s="78">
        <v>108.7046790577977</v>
      </c>
      <c r="X87" s="28">
        <f t="shared" si="11"/>
        <v>30513.028294071446</v>
      </c>
      <c r="Y87" s="28">
        <f t="shared" si="12"/>
        <v>30494.756316976422</v>
      </c>
      <c r="Z87" s="28">
        <f t="shared" si="8"/>
        <v>-18.271977095024795</v>
      </c>
      <c r="AB87">
        <f t="shared" si="13"/>
        <v>1</v>
      </c>
      <c r="AC87">
        <f t="shared" si="14"/>
        <v>0</v>
      </c>
      <c r="AD87">
        <f t="shared" si="9"/>
        <v>0</v>
      </c>
      <c r="AK87" s="28">
        <f t="shared" si="10"/>
        <v>30513.028294071446</v>
      </c>
      <c r="AS87" s="28"/>
      <c r="AT87" s="28"/>
      <c r="AU87" s="28"/>
    </row>
    <row r="88" spans="1:47" x14ac:dyDescent="0.15">
      <c r="A88">
        <v>83</v>
      </c>
      <c r="C88" s="11">
        <v>1.1206686496734619E-2</v>
      </c>
      <c r="D88" s="11">
        <v>4.6551823616027832E-3</v>
      </c>
      <c r="E88" s="11">
        <v>0.37110180748262067</v>
      </c>
      <c r="F88" s="11">
        <v>0</v>
      </c>
      <c r="G88" s="11">
        <v>3.8572072982788086E-2</v>
      </c>
      <c r="H88" s="40">
        <v>5.1723694234888384E-4</v>
      </c>
      <c r="I88" s="40">
        <v>1.4717342444345383</v>
      </c>
      <c r="J88" s="59">
        <v>0</v>
      </c>
      <c r="K88" s="59">
        <v>6175.9212985634804</v>
      </c>
      <c r="L88" s="59">
        <v>0</v>
      </c>
      <c r="M88" s="11">
        <v>0.89907622337341309</v>
      </c>
      <c r="N88" s="11">
        <v>0.69214749336242676</v>
      </c>
      <c r="O88" s="11">
        <v>0.27852568030357361</v>
      </c>
      <c r="Q88" s="59">
        <v>15.593631798174856</v>
      </c>
      <c r="R88" s="78">
        <v>559.54535699953135</v>
      </c>
      <c r="S88" s="78">
        <v>15.661698840050279</v>
      </c>
      <c r="T88" s="78">
        <v>641.32901451822283</v>
      </c>
      <c r="U88" s="78">
        <v>6.8067041875423229E-2</v>
      </c>
      <c r="V88" s="78">
        <v>81.783657518691484</v>
      </c>
      <c r="X88" s="28">
        <f t="shared" si="11"/>
        <v>33746.444598985152</v>
      </c>
      <c r="Y88" s="28">
        <f t="shared" si="12"/>
        <v>33814.408433592391</v>
      </c>
      <c r="Z88" s="28">
        <f t="shared" si="8"/>
        <v>67.963834607239619</v>
      </c>
      <c r="AB88">
        <f t="shared" si="13"/>
        <v>0</v>
      </c>
      <c r="AC88">
        <f t="shared" si="14"/>
        <v>1</v>
      </c>
      <c r="AD88">
        <f t="shared" si="9"/>
        <v>1</v>
      </c>
      <c r="AK88" s="28">
        <f t="shared" si="10"/>
        <v>33814.408433592391</v>
      </c>
      <c r="AS88" s="28"/>
      <c r="AT88" s="28"/>
      <c r="AU88" s="28"/>
    </row>
    <row r="89" spans="1:47" x14ac:dyDescent="0.15">
      <c r="A89">
        <v>84</v>
      </c>
      <c r="C89" s="11">
        <v>1.6473621129989624E-2</v>
      </c>
      <c r="D89" s="11">
        <v>2.7108252048492432E-2</v>
      </c>
      <c r="E89" s="11">
        <v>0.31926065518398278</v>
      </c>
      <c r="F89" s="11">
        <v>0</v>
      </c>
      <c r="G89" s="11">
        <v>2.4376124143600464E-2</v>
      </c>
      <c r="H89" s="40">
        <v>4.4394648532016862E-4</v>
      </c>
      <c r="I89" s="40">
        <v>1.4755482470334786</v>
      </c>
      <c r="J89" s="59">
        <v>0</v>
      </c>
      <c r="K89" s="59">
        <v>5016.8251618742943</v>
      </c>
      <c r="L89" s="59">
        <v>0</v>
      </c>
      <c r="M89" s="11">
        <v>0.86345481872558594</v>
      </c>
      <c r="N89" s="11">
        <v>0.70016121864318848</v>
      </c>
      <c r="O89" s="11">
        <v>0.31693971157073975</v>
      </c>
      <c r="Q89" s="59">
        <v>14.918364882237727</v>
      </c>
      <c r="R89" s="78">
        <v>501.30924562640251</v>
      </c>
      <c r="S89" s="78">
        <v>14.973833881200692</v>
      </c>
      <c r="T89" s="78">
        <v>613.73802419851654</v>
      </c>
      <c r="U89" s="78">
        <v>5.5468998962965088E-2</v>
      </c>
      <c r="V89" s="78">
        <v>112.42877857211403</v>
      </c>
      <c r="X89" s="28">
        <f t="shared" si="11"/>
        <v>32319.093495296594</v>
      </c>
      <c r="Y89" s="28">
        <f t="shared" si="12"/>
        <v>32328.696514443007</v>
      </c>
      <c r="Z89" s="28">
        <f t="shared" si="8"/>
        <v>9.6030191464091672</v>
      </c>
      <c r="AB89">
        <f t="shared" si="13"/>
        <v>0</v>
      </c>
      <c r="AC89">
        <f t="shared" si="14"/>
        <v>1</v>
      </c>
      <c r="AD89">
        <f t="shared" si="9"/>
        <v>1</v>
      </c>
      <c r="AK89" s="28">
        <f t="shared" si="10"/>
        <v>32328.696514443007</v>
      </c>
      <c r="AS89" s="28"/>
      <c r="AT89" s="28"/>
      <c r="AU89" s="28"/>
    </row>
    <row r="90" spans="1:47" x14ac:dyDescent="0.15">
      <c r="A90">
        <v>85</v>
      </c>
      <c r="C90" s="11">
        <v>1.4756277203559875E-2</v>
      </c>
      <c r="D90" s="11">
        <v>1.6004547476768494E-2</v>
      </c>
      <c r="E90" s="11">
        <v>0.14765991928045966</v>
      </c>
      <c r="F90" s="11">
        <v>0</v>
      </c>
      <c r="G90" s="11">
        <v>9.5194339752197266E-2</v>
      </c>
      <c r="H90" s="40">
        <v>4.0128850433209461E-4</v>
      </c>
      <c r="I90" s="40">
        <v>1.5629986945688665</v>
      </c>
      <c r="J90" s="59">
        <v>0</v>
      </c>
      <c r="K90" s="59">
        <v>5309.7656928002834</v>
      </c>
      <c r="L90" s="59">
        <v>0</v>
      </c>
      <c r="M90" s="11">
        <v>0.82665586471557617</v>
      </c>
      <c r="N90" s="11">
        <v>0.77407485246658325</v>
      </c>
      <c r="O90" s="11">
        <v>0.32089126110076904</v>
      </c>
      <c r="Q90" s="59">
        <v>14.323387518309163</v>
      </c>
      <c r="R90" s="78">
        <v>576.19366173431717</v>
      </c>
      <c r="S90" s="78">
        <v>14.376721403595786</v>
      </c>
      <c r="T90" s="78">
        <v>606.4493942485766</v>
      </c>
      <c r="U90" s="78">
        <v>5.3333885286622973E-2</v>
      </c>
      <c r="V90" s="78">
        <v>30.255732514259421</v>
      </c>
      <c r="X90" s="28">
        <f t="shared" si="11"/>
        <v>30935.258878545843</v>
      </c>
      <c r="Y90" s="28">
        <f t="shared" si="12"/>
        <v>31022.337693662153</v>
      </c>
      <c r="Z90" s="28">
        <f t="shared" si="8"/>
        <v>87.078815116311119</v>
      </c>
      <c r="AB90">
        <f t="shared" si="13"/>
        <v>0</v>
      </c>
      <c r="AC90">
        <f t="shared" si="14"/>
        <v>1</v>
      </c>
      <c r="AD90">
        <f t="shared" si="9"/>
        <v>1</v>
      </c>
      <c r="AK90" s="28">
        <f t="shared" si="10"/>
        <v>31022.337693662153</v>
      </c>
      <c r="AS90" s="28"/>
      <c r="AT90" s="28"/>
      <c r="AU90" s="28"/>
    </row>
    <row r="91" spans="1:47" x14ac:dyDescent="0.15">
      <c r="A91">
        <v>86</v>
      </c>
      <c r="C91" s="11">
        <v>1.3148963451385498E-2</v>
      </c>
      <c r="D91" s="11">
        <v>3.2573491334915161E-2</v>
      </c>
      <c r="E91" s="11">
        <v>0.30218297693864016</v>
      </c>
      <c r="F91" s="11">
        <v>0</v>
      </c>
      <c r="G91" s="11">
        <v>4.1562020778656006E-2</v>
      </c>
      <c r="H91" s="40">
        <v>4.3136438529045313E-4</v>
      </c>
      <c r="I91" s="40">
        <v>1.5381300603167751</v>
      </c>
      <c r="J91" s="59">
        <v>0</v>
      </c>
      <c r="K91" s="59">
        <v>9629.763662815094</v>
      </c>
      <c r="L91" s="59">
        <v>0</v>
      </c>
      <c r="M91" s="11">
        <v>0.86414176225662231</v>
      </c>
      <c r="N91" s="11">
        <v>0.79088330268859863</v>
      </c>
      <c r="O91" s="11">
        <v>0.27294337749481201</v>
      </c>
      <c r="Q91" s="59">
        <v>14.990892486814708</v>
      </c>
      <c r="R91" s="78">
        <v>656.78207646392048</v>
      </c>
      <c r="S91" s="78">
        <v>15.040862141003277</v>
      </c>
      <c r="T91" s="78">
        <v>659.75895853316331</v>
      </c>
      <c r="U91" s="78">
        <v>4.9969654188569024E-2</v>
      </c>
      <c r="V91" s="78">
        <v>2.9768820692428335</v>
      </c>
      <c r="X91" s="28">
        <f t="shared" si="11"/>
        <v>32323.181394528434</v>
      </c>
      <c r="Y91" s="28">
        <f t="shared" si="12"/>
        <v>32430.13775167405</v>
      </c>
      <c r="Z91" s="28">
        <f t="shared" si="8"/>
        <v>106.95635714560902</v>
      </c>
      <c r="AB91">
        <f t="shared" si="13"/>
        <v>0</v>
      </c>
      <c r="AC91">
        <f t="shared" si="14"/>
        <v>1</v>
      </c>
      <c r="AD91">
        <f t="shared" si="9"/>
        <v>1</v>
      </c>
      <c r="AK91" s="28">
        <f t="shared" si="10"/>
        <v>32430.13775167405</v>
      </c>
      <c r="AS91" s="28"/>
      <c r="AT91" s="28"/>
      <c r="AU91" s="28"/>
    </row>
    <row r="92" spans="1:47" x14ac:dyDescent="0.15">
      <c r="A92">
        <v>87</v>
      </c>
      <c r="C92" s="11">
        <v>8.9325010776519775E-3</v>
      </c>
      <c r="D92" s="11">
        <v>1.1480823159217834E-2</v>
      </c>
      <c r="E92" s="11">
        <v>0.29727286341418685</v>
      </c>
      <c r="F92" s="11">
        <v>0</v>
      </c>
      <c r="G92" s="11">
        <v>2.6897430419921875E-2</v>
      </c>
      <c r="H92" s="40">
        <v>4.7728097321713141E-4</v>
      </c>
      <c r="I92" s="40">
        <v>1.5244532759514211</v>
      </c>
      <c r="J92" s="59">
        <v>0</v>
      </c>
      <c r="K92" s="59">
        <v>6024.8933732509613</v>
      </c>
      <c r="L92" s="59">
        <v>0</v>
      </c>
      <c r="M92" s="11">
        <v>0.84659531712532043</v>
      </c>
      <c r="N92" s="11">
        <v>0.66788148880004883</v>
      </c>
      <c r="O92" s="11">
        <v>0.2966112494468689</v>
      </c>
      <c r="Q92" s="59">
        <v>14.716716119563536</v>
      </c>
      <c r="R92" s="78">
        <v>557.11468730970796</v>
      </c>
      <c r="S92" s="78">
        <v>14.788890143827564</v>
      </c>
      <c r="T92" s="78">
        <v>628.37786382076126</v>
      </c>
      <c r="U92" s="78">
        <v>7.2174024264027636E-2</v>
      </c>
      <c r="V92" s="78">
        <v>71.263176511053302</v>
      </c>
      <c r="X92" s="28">
        <f t="shared" si="11"/>
        <v>31819.66077573007</v>
      </c>
      <c r="Y92" s="28">
        <f t="shared" si="12"/>
        <v>31907.180452599878</v>
      </c>
      <c r="Z92" s="28">
        <f t="shared" si="8"/>
        <v>87.519676869807483</v>
      </c>
      <c r="AB92">
        <f t="shared" si="13"/>
        <v>0</v>
      </c>
      <c r="AC92">
        <f t="shared" si="14"/>
        <v>1</v>
      </c>
      <c r="AD92">
        <f t="shared" si="9"/>
        <v>1</v>
      </c>
      <c r="AK92" s="28">
        <f t="shared" si="10"/>
        <v>31907.180452599878</v>
      </c>
      <c r="AS92" s="28"/>
      <c r="AT92" s="28"/>
      <c r="AU92" s="28"/>
    </row>
    <row r="93" spans="1:47" x14ac:dyDescent="0.15">
      <c r="A93">
        <v>88</v>
      </c>
      <c r="C93" s="11">
        <v>2.36397385597229E-2</v>
      </c>
      <c r="D93" s="11">
        <v>1.8861204385757446E-2</v>
      </c>
      <c r="E93" s="11">
        <v>0.23432299526503683</v>
      </c>
      <c r="F93" s="11">
        <v>0</v>
      </c>
      <c r="G93" s="11">
        <v>6.4587235450744629E-2</v>
      </c>
      <c r="H93" s="40">
        <v>5.6764907349913911E-4</v>
      </c>
      <c r="I93" s="40">
        <v>1.4525399902431964</v>
      </c>
      <c r="J93" s="59">
        <v>0</v>
      </c>
      <c r="K93" s="59">
        <v>5920.3873388469219</v>
      </c>
      <c r="L93" s="59">
        <v>0</v>
      </c>
      <c r="M93" s="11">
        <v>0.850372314453125</v>
      </c>
      <c r="N93" s="11">
        <v>0.77860534191131592</v>
      </c>
      <c r="O93" s="11">
        <v>0.31098049879074097</v>
      </c>
      <c r="Q93" s="59">
        <v>14.597487177777428</v>
      </c>
      <c r="R93" s="78">
        <v>576.92203723909824</v>
      </c>
      <c r="S93" s="78">
        <v>14.64924885863832</v>
      </c>
      <c r="T93" s="78">
        <v>622.62856547951196</v>
      </c>
      <c r="U93" s="78">
        <v>5.1761680860892056E-2</v>
      </c>
      <c r="V93" s="78">
        <v>45.706528240413718</v>
      </c>
      <c r="X93" s="28">
        <f t="shared" si="11"/>
        <v>31537.549753871241</v>
      </c>
      <c r="Y93" s="28">
        <f t="shared" si="12"/>
        <v>31605.718923524793</v>
      </c>
      <c r="Z93" s="28">
        <f t="shared" si="8"/>
        <v>68.169169653548806</v>
      </c>
      <c r="AB93">
        <f t="shared" si="13"/>
        <v>0</v>
      </c>
      <c r="AC93">
        <f t="shared" si="14"/>
        <v>1</v>
      </c>
      <c r="AD93">
        <f t="shared" si="9"/>
        <v>1</v>
      </c>
      <c r="AK93" s="28">
        <f t="shared" si="10"/>
        <v>31605.718923524793</v>
      </c>
      <c r="AS93" s="28"/>
      <c r="AT93" s="28"/>
      <c r="AU93" s="28"/>
    </row>
    <row r="94" spans="1:47" x14ac:dyDescent="0.15">
      <c r="A94">
        <v>89</v>
      </c>
      <c r="C94" s="11">
        <v>6.8115890026092529E-3</v>
      </c>
      <c r="D94" s="11">
        <v>1.8980205059051514E-3</v>
      </c>
      <c r="E94" s="11">
        <v>0.13337944827598819</v>
      </c>
      <c r="F94" s="11">
        <v>0</v>
      </c>
      <c r="G94" s="11">
        <v>1.6396820545196533E-2</v>
      </c>
      <c r="H94" s="40">
        <v>3.5418219056960695E-4</v>
      </c>
      <c r="I94" s="40">
        <v>1.4055605284733759</v>
      </c>
      <c r="J94" s="59">
        <v>0</v>
      </c>
      <c r="K94" s="59">
        <v>4407.5306504964828</v>
      </c>
      <c r="L94" s="59">
        <v>0</v>
      </c>
      <c r="M94" s="11">
        <v>0.82549363374710083</v>
      </c>
      <c r="N94" s="11">
        <v>0.73363417387008667</v>
      </c>
      <c r="O94" s="11">
        <v>0.30045956373214722</v>
      </c>
      <c r="Q94" s="59">
        <v>14.448657211976299</v>
      </c>
      <c r="R94" s="78">
        <v>453.60739809602092</v>
      </c>
      <c r="S94" s="78">
        <v>14.477365478936649</v>
      </c>
      <c r="T94" s="78">
        <v>587.0398228996869</v>
      </c>
      <c r="U94" s="78">
        <v>2.870826696035067E-2</v>
      </c>
      <c r="V94" s="78">
        <v>133.43242480366598</v>
      </c>
      <c r="X94" s="28">
        <f t="shared" si="11"/>
        <v>31333.438468251836</v>
      </c>
      <c r="Y94" s="28">
        <f t="shared" si="12"/>
        <v>31263.164230760944</v>
      </c>
      <c r="Z94" s="28">
        <f t="shared" si="8"/>
        <v>-70.274237490894507</v>
      </c>
      <c r="AB94">
        <f t="shared" si="13"/>
        <v>1</v>
      </c>
      <c r="AC94">
        <f t="shared" si="14"/>
        <v>0</v>
      </c>
      <c r="AD94">
        <f t="shared" si="9"/>
        <v>0</v>
      </c>
      <c r="AK94" s="28">
        <f t="shared" si="10"/>
        <v>31333.438468251836</v>
      </c>
      <c r="AS94" s="28"/>
      <c r="AT94" s="28"/>
      <c r="AU94" s="28"/>
    </row>
    <row r="95" spans="1:47" x14ac:dyDescent="0.15">
      <c r="A95">
        <v>90</v>
      </c>
      <c r="C95" s="11">
        <v>1.8530234694480896E-2</v>
      </c>
      <c r="D95" s="11">
        <v>7.0219993591308594E-2</v>
      </c>
      <c r="E95" s="11">
        <v>0.43627407695370413</v>
      </c>
      <c r="F95" s="11">
        <v>0</v>
      </c>
      <c r="G95" s="11">
        <v>6.7257881164550781E-3</v>
      </c>
      <c r="H95" s="40">
        <v>4.5252527678225375E-4</v>
      </c>
      <c r="I95" s="40">
        <v>1.444641184539194</v>
      </c>
      <c r="J95" s="59">
        <v>0</v>
      </c>
      <c r="K95" s="59">
        <v>6365.2405515313148</v>
      </c>
      <c r="L95" s="59">
        <v>0</v>
      </c>
      <c r="M95" s="11">
        <v>0.90000450611114502</v>
      </c>
      <c r="N95" s="11">
        <v>0.67787480354309082</v>
      </c>
      <c r="O95" s="11">
        <v>0.2707521915435791</v>
      </c>
      <c r="Q95" s="59">
        <v>15.499297763961851</v>
      </c>
      <c r="R95" s="78">
        <v>507.5240137693371</v>
      </c>
      <c r="S95" s="78">
        <v>15.55707089269289</v>
      </c>
      <c r="T95" s="78">
        <v>629.06282909129277</v>
      </c>
      <c r="U95" s="78">
        <v>5.7773128731039236E-2</v>
      </c>
      <c r="V95" s="78">
        <v>121.53881532195567</v>
      </c>
      <c r="X95" s="28">
        <f t="shared" si="11"/>
        <v>33590.93106694673</v>
      </c>
      <c r="Y95" s="28">
        <f t="shared" si="12"/>
        <v>33596.493134833065</v>
      </c>
      <c r="Z95" s="28">
        <f t="shared" si="8"/>
        <v>5.5620678863306523</v>
      </c>
      <c r="AB95">
        <f t="shared" si="13"/>
        <v>0</v>
      </c>
      <c r="AC95">
        <f t="shared" si="14"/>
        <v>1</v>
      </c>
      <c r="AD95">
        <f t="shared" si="9"/>
        <v>1</v>
      </c>
      <c r="AK95" s="28">
        <f t="shared" si="10"/>
        <v>33596.493134833065</v>
      </c>
      <c r="AS95" s="28"/>
      <c r="AT95" s="28"/>
      <c r="AU95" s="28"/>
    </row>
    <row r="96" spans="1:47" x14ac:dyDescent="0.15">
      <c r="A96">
        <v>91</v>
      </c>
      <c r="C96" s="11">
        <v>2.7184545993804932E-2</v>
      </c>
      <c r="D96" s="11">
        <v>3.4437686204910278E-2</v>
      </c>
      <c r="E96" s="11">
        <v>0.20692049982610194</v>
      </c>
      <c r="F96" s="11">
        <v>0</v>
      </c>
      <c r="G96" s="11">
        <v>2.188718318939209E-2</v>
      </c>
      <c r="H96" s="40">
        <v>3.5109958969329268E-4</v>
      </c>
      <c r="I96" s="40">
        <v>1.5110964985602116</v>
      </c>
      <c r="J96" s="59">
        <v>0</v>
      </c>
      <c r="K96" s="59">
        <v>7479.2373925447464</v>
      </c>
      <c r="L96" s="59">
        <v>0</v>
      </c>
      <c r="M96" s="11">
        <v>0.86047369241714478</v>
      </c>
      <c r="N96" s="11">
        <v>0.68070006370544434</v>
      </c>
      <c r="O96" s="11">
        <v>0.26964479684829712</v>
      </c>
      <c r="Q96" s="59">
        <v>14.706896579605731</v>
      </c>
      <c r="R96" s="78">
        <v>531.17338651831335</v>
      </c>
      <c r="S96" s="78">
        <v>14.769256744858552</v>
      </c>
      <c r="T96" s="78">
        <v>607.80005841675427</v>
      </c>
      <c r="U96" s="78">
        <v>6.2360165252821176E-2</v>
      </c>
      <c r="V96" s="78">
        <v>76.626671898440918</v>
      </c>
      <c r="X96" s="28">
        <f t="shared" si="11"/>
        <v>31823.999088614295</v>
      </c>
      <c r="Y96" s="28">
        <f t="shared" si="12"/>
        <v>31884.564780272063</v>
      </c>
      <c r="Z96" s="28">
        <f t="shared" si="8"/>
        <v>60.565691657765683</v>
      </c>
      <c r="AB96">
        <f t="shared" si="13"/>
        <v>0</v>
      </c>
      <c r="AC96">
        <f t="shared" si="14"/>
        <v>1</v>
      </c>
      <c r="AD96">
        <f t="shared" si="9"/>
        <v>1</v>
      </c>
      <c r="AK96" s="28">
        <f t="shared" si="10"/>
        <v>31884.564780272063</v>
      </c>
      <c r="AS96" s="28"/>
      <c r="AT96" s="28"/>
      <c r="AU96" s="28"/>
    </row>
    <row r="97" spans="1:47" x14ac:dyDescent="0.15">
      <c r="A97">
        <v>92</v>
      </c>
      <c r="C97" s="11">
        <v>8.2150697708129883E-3</v>
      </c>
      <c r="D97" s="11">
        <v>5.4269582033157349E-3</v>
      </c>
      <c r="E97" s="11">
        <v>0.14508103265017447</v>
      </c>
      <c r="F97" s="11">
        <v>0</v>
      </c>
      <c r="G97" s="11">
        <v>7.1598410606384277E-2</v>
      </c>
      <c r="H97" s="40">
        <v>4.8820289559519547E-4</v>
      </c>
      <c r="I97" s="40">
        <v>1.487167907626769</v>
      </c>
      <c r="J97" s="59">
        <v>0</v>
      </c>
      <c r="K97" s="59">
        <v>7537.6685708761215</v>
      </c>
      <c r="L97" s="59">
        <v>0</v>
      </c>
      <c r="M97" s="11">
        <v>0.87501212954521179</v>
      </c>
      <c r="N97" s="11">
        <v>0.8834228515625</v>
      </c>
      <c r="O97" s="11">
        <v>0.28427499532699585</v>
      </c>
      <c r="Q97" s="59">
        <v>15.291533592967458</v>
      </c>
      <c r="R97" s="78">
        <v>627.43505785612422</v>
      </c>
      <c r="S97" s="78">
        <v>15.323317626750642</v>
      </c>
      <c r="T97" s="78">
        <v>613.52005448886837</v>
      </c>
      <c r="U97" s="78">
        <v>3.1784033783184285E-2</v>
      </c>
      <c r="V97" s="78">
        <v>-13.915003367255849</v>
      </c>
      <c r="X97" s="28">
        <f t="shared" si="11"/>
        <v>33013.938846672288</v>
      </c>
      <c r="Y97" s="28">
        <f t="shared" si="12"/>
        <v>33097.77872436255</v>
      </c>
      <c r="Z97" s="28">
        <f t="shared" si="8"/>
        <v>83.839877690261275</v>
      </c>
      <c r="AB97">
        <f t="shared" si="13"/>
        <v>0</v>
      </c>
      <c r="AC97">
        <f t="shared" si="14"/>
        <v>1</v>
      </c>
      <c r="AD97">
        <f t="shared" si="9"/>
        <v>1</v>
      </c>
      <c r="AK97" s="28">
        <f t="shared" si="10"/>
        <v>33097.77872436255</v>
      </c>
      <c r="AS97" s="28"/>
      <c r="AT97" s="28"/>
      <c r="AU97" s="28"/>
    </row>
    <row r="98" spans="1:47" x14ac:dyDescent="0.15">
      <c r="A98">
        <v>93</v>
      </c>
      <c r="C98" s="11">
        <v>2.8368651866912842E-2</v>
      </c>
      <c r="D98" s="11">
        <v>1.011069118976593E-2</v>
      </c>
      <c r="E98" s="11">
        <v>0.28385141812328135</v>
      </c>
      <c r="F98" s="11">
        <v>0</v>
      </c>
      <c r="G98" s="11">
        <v>2.2525161504745483E-2</v>
      </c>
      <c r="H98" s="40">
        <v>3.9717870324035141E-4</v>
      </c>
      <c r="I98" s="40">
        <v>1.5018633716303385</v>
      </c>
      <c r="J98" s="59">
        <v>0</v>
      </c>
      <c r="K98" s="59">
        <v>4275.741521269083</v>
      </c>
      <c r="L98" s="59">
        <v>0</v>
      </c>
      <c r="M98" s="11">
        <v>0.86065182089805603</v>
      </c>
      <c r="N98" s="11">
        <v>0.79585778713226318</v>
      </c>
      <c r="O98" s="11">
        <v>0.25797128677368164</v>
      </c>
      <c r="Q98" s="59">
        <v>14.72436693418382</v>
      </c>
      <c r="R98" s="78">
        <v>480.71326519759526</v>
      </c>
      <c r="S98" s="78">
        <v>14.757480439185429</v>
      </c>
      <c r="T98" s="78">
        <v>603.96932444942638</v>
      </c>
      <c r="U98" s="78">
        <v>3.3113505001608701E-2</v>
      </c>
      <c r="V98" s="78">
        <v>123.25605925183112</v>
      </c>
      <c r="X98" s="28">
        <f t="shared" si="11"/>
        <v>31912.893990006807</v>
      </c>
      <c r="Y98" s="28">
        <f t="shared" si="12"/>
        <v>31862.487641758518</v>
      </c>
      <c r="Z98" s="28">
        <f t="shared" si="8"/>
        <v>-50.406348248291977</v>
      </c>
      <c r="AB98">
        <f t="shared" si="13"/>
        <v>1</v>
      </c>
      <c r="AC98">
        <f t="shared" si="14"/>
        <v>0</v>
      </c>
      <c r="AD98">
        <f t="shared" si="9"/>
        <v>0</v>
      </c>
      <c r="AK98" s="28">
        <f t="shared" si="10"/>
        <v>31912.893990006807</v>
      </c>
      <c r="AS98" s="28"/>
      <c r="AT98" s="28"/>
      <c r="AU98" s="28"/>
    </row>
    <row r="99" spans="1:47" x14ac:dyDescent="0.15">
      <c r="A99">
        <v>94</v>
      </c>
      <c r="C99" s="11">
        <v>2.8449445962905884E-2</v>
      </c>
      <c r="D99" s="11">
        <v>3.5888969898223877E-2</v>
      </c>
      <c r="E99" s="11">
        <v>0.30863018312364321</v>
      </c>
      <c r="F99" s="11">
        <v>0</v>
      </c>
      <c r="G99" s="11">
        <v>6.2915205955505371E-2</v>
      </c>
      <c r="H99" s="40">
        <v>5.043425354541879E-4</v>
      </c>
      <c r="I99" s="40">
        <v>1.4630059913796514</v>
      </c>
      <c r="J99" s="59">
        <v>0</v>
      </c>
      <c r="K99" s="59">
        <v>8637.9051208496094</v>
      </c>
      <c r="L99" s="59">
        <v>0</v>
      </c>
      <c r="M99" s="11">
        <v>0.85047996044158936</v>
      </c>
      <c r="N99" s="11">
        <v>0.72588998079299927</v>
      </c>
      <c r="O99" s="11">
        <v>0.29488083720207214</v>
      </c>
      <c r="Q99" s="59">
        <v>14.509187143530951</v>
      </c>
      <c r="R99" s="78">
        <v>634.25768437022793</v>
      </c>
      <c r="S99" s="78">
        <v>14.568152276450681</v>
      </c>
      <c r="T99" s="78">
        <v>654.25454329954368</v>
      </c>
      <c r="U99" s="78">
        <v>5.8965132919729157E-2</v>
      </c>
      <c r="V99" s="78">
        <v>19.996858929315749</v>
      </c>
      <c r="X99" s="28">
        <f t="shared" si="11"/>
        <v>31285.954031397865</v>
      </c>
      <c r="Y99" s="28">
        <f t="shared" si="12"/>
        <v>31395.680464891953</v>
      </c>
      <c r="Z99" s="28">
        <f t="shared" si="8"/>
        <v>109.72643349408838</v>
      </c>
      <c r="AB99">
        <f t="shared" si="13"/>
        <v>0</v>
      </c>
      <c r="AC99">
        <f t="shared" si="14"/>
        <v>1</v>
      </c>
      <c r="AD99">
        <f t="shared" si="9"/>
        <v>1</v>
      </c>
      <c r="AK99" s="28">
        <f t="shared" si="10"/>
        <v>31395.680464891953</v>
      </c>
      <c r="AS99" s="28"/>
      <c r="AT99" s="28"/>
      <c r="AU99" s="28"/>
    </row>
    <row r="100" spans="1:47" x14ac:dyDescent="0.15">
      <c r="A100">
        <v>95</v>
      </c>
      <c r="C100" s="11">
        <v>1.4501973986625671E-2</v>
      </c>
      <c r="D100" s="11">
        <v>3.3559262752532959E-2</v>
      </c>
      <c r="E100" s="11">
        <v>0.53816767417518308</v>
      </c>
      <c r="F100" s="11">
        <v>0</v>
      </c>
      <c r="G100" s="11">
        <v>3.4832030534744263E-2</v>
      </c>
      <c r="H100" s="40">
        <v>4.1924596756035513E-4</v>
      </c>
      <c r="I100" s="40">
        <v>1.588470250215996</v>
      </c>
      <c r="J100" s="59">
        <v>0</v>
      </c>
      <c r="K100" s="59">
        <v>3006.3698068261147</v>
      </c>
      <c r="L100" s="59">
        <v>0</v>
      </c>
      <c r="M100" s="11">
        <v>0.84462457895278931</v>
      </c>
      <c r="N100" s="11">
        <v>0.75517004728317261</v>
      </c>
      <c r="O100" s="11">
        <v>0.33676779270172119</v>
      </c>
      <c r="Q100" s="59">
        <v>14.621652118154298</v>
      </c>
      <c r="R100" s="78">
        <v>482.94868164922843</v>
      </c>
      <c r="S100" s="78">
        <v>14.658436660995644</v>
      </c>
      <c r="T100" s="78">
        <v>627.49399808690896</v>
      </c>
      <c r="U100" s="78">
        <v>3.6784542841346024E-2</v>
      </c>
      <c r="V100" s="78">
        <v>144.54531643768053</v>
      </c>
      <c r="X100" s="28">
        <f t="shared" si="11"/>
        <v>31684.685978290228</v>
      </c>
      <c r="Y100" s="28">
        <f t="shared" si="12"/>
        <v>31621.066656103507</v>
      </c>
      <c r="Z100" s="28">
        <f t="shared" si="8"/>
        <v>-63.619322186719273</v>
      </c>
      <c r="AB100">
        <f t="shared" si="13"/>
        <v>1</v>
      </c>
      <c r="AC100">
        <f t="shared" si="14"/>
        <v>0</v>
      </c>
      <c r="AD100">
        <f t="shared" si="9"/>
        <v>0</v>
      </c>
      <c r="AK100" s="28">
        <f t="shared" si="10"/>
        <v>31684.685978290228</v>
      </c>
      <c r="AS100" s="28"/>
      <c r="AT100" s="28"/>
      <c r="AU100" s="28"/>
    </row>
    <row r="101" spans="1:47" x14ac:dyDescent="0.15">
      <c r="A101">
        <v>96</v>
      </c>
      <c r="C101" s="11">
        <v>4.4798135757446289E-2</v>
      </c>
      <c r="D101" s="11">
        <v>2.623322606086731E-2</v>
      </c>
      <c r="E101" s="11">
        <v>0.31741744393804022</v>
      </c>
      <c r="F101" s="11">
        <v>0</v>
      </c>
      <c r="G101" s="11">
        <v>6.0894489288330078E-2</v>
      </c>
      <c r="H101" s="40">
        <v>4.2007955219988522E-4</v>
      </c>
      <c r="I101" s="40">
        <v>1.3968667505721719</v>
      </c>
      <c r="J101" s="59">
        <v>0</v>
      </c>
      <c r="K101" s="59">
        <v>4140.2969509363174</v>
      </c>
      <c r="L101" s="59">
        <v>0</v>
      </c>
      <c r="M101" s="11">
        <v>0.84563872218132019</v>
      </c>
      <c r="N101" s="11">
        <v>0.79574501514434814</v>
      </c>
      <c r="O101" s="11">
        <v>0.27089178562164307</v>
      </c>
      <c r="Q101" s="59">
        <v>14.227741101560476</v>
      </c>
      <c r="R101" s="78">
        <v>471.94493514920799</v>
      </c>
      <c r="S101" s="78">
        <v>14.254973755097678</v>
      </c>
      <c r="T101" s="78">
        <v>603.98211861997447</v>
      </c>
      <c r="U101" s="78">
        <v>2.7232653537202722E-2</v>
      </c>
      <c r="V101" s="78">
        <v>132.03718347076648</v>
      </c>
      <c r="X101" s="28">
        <f t="shared" si="11"/>
        <v>30829.085488283839</v>
      </c>
      <c r="Y101" s="28">
        <f t="shared" si="12"/>
        <v>30756.960142594919</v>
      </c>
      <c r="Z101" s="28">
        <f t="shared" si="8"/>
        <v>-72.12534568892049</v>
      </c>
      <c r="AB101">
        <f t="shared" si="13"/>
        <v>1</v>
      </c>
      <c r="AC101">
        <f t="shared" si="14"/>
        <v>0</v>
      </c>
      <c r="AD101">
        <f t="shared" si="9"/>
        <v>0</v>
      </c>
      <c r="AK101" s="28">
        <f t="shared" si="10"/>
        <v>30829.085488283839</v>
      </c>
      <c r="AS101" s="28"/>
      <c r="AT101" s="28"/>
      <c r="AU101" s="28"/>
    </row>
    <row r="102" spans="1:47" x14ac:dyDescent="0.15">
      <c r="A102">
        <v>97</v>
      </c>
      <c r="C102" s="11">
        <v>1.0716423392295837E-2</v>
      </c>
      <c r="D102" s="11">
        <v>1.2939348816871643E-2</v>
      </c>
      <c r="E102" s="11">
        <v>0.13857353632627745</v>
      </c>
      <c r="F102" s="11">
        <v>0</v>
      </c>
      <c r="G102" s="11">
        <v>6.8189501762390137E-2</v>
      </c>
      <c r="H102" s="40">
        <v>5.1124709233478993E-4</v>
      </c>
      <c r="I102" s="40">
        <v>1.4537216175388772</v>
      </c>
      <c r="J102" s="59">
        <v>0</v>
      </c>
      <c r="K102" s="59">
        <v>4483.6732558906078</v>
      </c>
      <c r="L102" s="59">
        <v>0</v>
      </c>
      <c r="M102" s="11">
        <v>0.78387355804443359</v>
      </c>
      <c r="N102" s="11">
        <v>0.72936838865280151</v>
      </c>
      <c r="O102" s="11">
        <v>0.29695126414299011</v>
      </c>
      <c r="Q102" s="59">
        <v>13.646018051831659</v>
      </c>
      <c r="R102" s="78">
        <v>523.44248709019473</v>
      </c>
      <c r="S102" s="78">
        <v>13.690322247995164</v>
      </c>
      <c r="T102" s="78">
        <v>597.26309136309851</v>
      </c>
      <c r="U102" s="78">
        <v>4.4304196163505338E-2</v>
      </c>
      <c r="V102" s="78">
        <v>73.820604272903779</v>
      </c>
      <c r="X102" s="28">
        <f t="shared" si="11"/>
        <v>29497.797226939456</v>
      </c>
      <c r="Y102" s="28">
        <f t="shared" si="12"/>
        <v>29521.445854226262</v>
      </c>
      <c r="Z102" s="28">
        <f t="shared" si="8"/>
        <v>23.648627286807965</v>
      </c>
      <c r="AB102">
        <f t="shared" si="13"/>
        <v>0</v>
      </c>
      <c r="AC102">
        <f t="shared" si="14"/>
        <v>1</v>
      </c>
      <c r="AD102">
        <f t="shared" si="9"/>
        <v>1</v>
      </c>
      <c r="AK102" s="28">
        <f t="shared" si="10"/>
        <v>29521.445854226262</v>
      </c>
      <c r="AS102" s="28"/>
      <c r="AT102" s="28"/>
      <c r="AU102" s="28"/>
    </row>
    <row r="103" spans="1:47" x14ac:dyDescent="0.15">
      <c r="A103">
        <v>98</v>
      </c>
      <c r="C103" s="11">
        <v>1.1965036392211914E-2</v>
      </c>
      <c r="D103" s="11">
        <v>3.071323037147522E-2</v>
      </c>
      <c r="E103" s="11">
        <v>0.19535345816028116</v>
      </c>
      <c r="F103" s="11">
        <v>0</v>
      </c>
      <c r="G103" s="11">
        <v>2.9045701026916504E-2</v>
      </c>
      <c r="H103" s="40">
        <v>5.252307496878242E-4</v>
      </c>
      <c r="I103" s="40">
        <v>1.3882029321423637</v>
      </c>
      <c r="J103" s="59">
        <v>0</v>
      </c>
      <c r="K103" s="59">
        <v>7077.4275809526443</v>
      </c>
      <c r="L103" s="59">
        <v>0</v>
      </c>
      <c r="M103" s="11">
        <v>0.85176491737365723</v>
      </c>
      <c r="N103" s="11">
        <v>0.71957248449325562</v>
      </c>
      <c r="O103" s="11">
        <v>0.30108222365379333</v>
      </c>
      <c r="Q103" s="59">
        <v>14.797079972472329</v>
      </c>
      <c r="R103" s="78">
        <v>537.08287545372048</v>
      </c>
      <c r="S103" s="78">
        <v>14.851676401670208</v>
      </c>
      <c r="T103" s="78">
        <v>607.35298241370253</v>
      </c>
      <c r="U103" s="78">
        <v>5.4596429197879104E-2</v>
      </c>
      <c r="V103" s="78">
        <v>70.270106959982058</v>
      </c>
      <c r="X103" s="28">
        <f t="shared" si="11"/>
        <v>32016.493063985403</v>
      </c>
      <c r="Y103" s="28">
        <f t="shared" si="12"/>
        <v>32066.335101260753</v>
      </c>
      <c r="Z103" s="28">
        <f t="shared" si="8"/>
        <v>49.84203727535197</v>
      </c>
      <c r="AB103">
        <f t="shared" si="13"/>
        <v>0</v>
      </c>
      <c r="AC103">
        <f t="shared" si="14"/>
        <v>1</v>
      </c>
      <c r="AD103">
        <f t="shared" si="9"/>
        <v>1</v>
      </c>
      <c r="AK103" s="28">
        <f t="shared" si="10"/>
        <v>32066.335101260753</v>
      </c>
      <c r="AS103" s="28"/>
      <c r="AT103" s="28"/>
      <c r="AU103" s="28"/>
    </row>
    <row r="104" spans="1:47" x14ac:dyDescent="0.15">
      <c r="A104">
        <v>99</v>
      </c>
      <c r="C104" s="11">
        <v>4.3255388736724854E-3</v>
      </c>
      <c r="D104" s="11">
        <v>2.7228862047195435E-2</v>
      </c>
      <c r="E104" s="11">
        <v>0.21251859732137474</v>
      </c>
      <c r="F104" s="11">
        <v>0</v>
      </c>
      <c r="G104" s="11">
        <v>3.1198829412460327E-2</v>
      </c>
      <c r="H104" s="40">
        <v>3.312496173939311E-4</v>
      </c>
      <c r="I104" s="40">
        <v>1.526902581778167</v>
      </c>
      <c r="J104" s="59">
        <v>0</v>
      </c>
      <c r="K104" s="59">
        <v>6118.8638210296631</v>
      </c>
      <c r="L104" s="59">
        <v>0</v>
      </c>
      <c r="M104" s="11">
        <v>0.79332685470581055</v>
      </c>
      <c r="N104" s="11">
        <v>0.77445584535598755</v>
      </c>
      <c r="O104" s="11">
        <v>0.27158844470977783</v>
      </c>
      <c r="Q104" s="59">
        <v>13.91922101349649</v>
      </c>
      <c r="R104" s="78">
        <v>513.64415732580176</v>
      </c>
      <c r="S104" s="78">
        <v>13.945205766075231</v>
      </c>
      <c r="T104" s="78">
        <v>604.79175275708235</v>
      </c>
      <c r="U104" s="78">
        <v>2.5984752578741777E-2</v>
      </c>
      <c r="V104" s="78">
        <v>91.147595431280592</v>
      </c>
      <c r="X104" s="28">
        <f t="shared" si="11"/>
        <v>30108.642072366474</v>
      </c>
      <c r="Y104" s="28">
        <f t="shared" si="12"/>
        <v>30074.660932608425</v>
      </c>
      <c r="Z104" s="28">
        <f t="shared" si="8"/>
        <v>-33.981139758048684</v>
      </c>
      <c r="AB104">
        <f t="shared" si="13"/>
        <v>1</v>
      </c>
      <c r="AC104">
        <f t="shared" si="14"/>
        <v>0</v>
      </c>
      <c r="AD104">
        <f t="shared" si="9"/>
        <v>0</v>
      </c>
      <c r="AK104" s="28">
        <f t="shared" si="10"/>
        <v>30108.642072366474</v>
      </c>
      <c r="AS104" s="28"/>
      <c r="AT104" s="28"/>
      <c r="AU104" s="28"/>
    </row>
    <row r="105" spans="1:47" x14ac:dyDescent="0.15">
      <c r="A105">
        <v>100</v>
      </c>
      <c r="C105" s="11">
        <v>4.6541929244995117E-2</v>
      </c>
      <c r="D105" s="11">
        <v>3.8533031940460205E-2</v>
      </c>
      <c r="E105" s="11">
        <v>0.18296715450110729</v>
      </c>
      <c r="F105" s="11">
        <v>0</v>
      </c>
      <c r="G105" s="11">
        <v>4.3154150247573853E-2</v>
      </c>
      <c r="H105" s="40">
        <v>4.2876733099076391E-4</v>
      </c>
      <c r="I105" s="40">
        <v>1.5122588655098237</v>
      </c>
      <c r="J105" s="59">
        <v>0</v>
      </c>
      <c r="K105" s="59">
        <v>3090.8407643437386</v>
      </c>
      <c r="L105" s="59">
        <v>0</v>
      </c>
      <c r="M105" s="11">
        <v>0.8170585036277771</v>
      </c>
      <c r="N105" s="11">
        <v>0.75973314046859741</v>
      </c>
      <c r="O105" s="11">
        <v>0.31333827972412109</v>
      </c>
      <c r="Q105" s="59">
        <v>13.703806157224671</v>
      </c>
      <c r="R105" s="78">
        <v>469.68900377858404</v>
      </c>
      <c r="S105" s="78">
        <v>13.749885069899348</v>
      </c>
      <c r="T105" s="78">
        <v>593.09942532037508</v>
      </c>
      <c r="U105" s="78">
        <v>4.6078912674676786E-2</v>
      </c>
      <c r="V105" s="78">
        <v>123.41042154179104</v>
      </c>
      <c r="X105" s="28">
        <f t="shared" si="11"/>
        <v>29678.68454211569</v>
      </c>
      <c r="Y105" s="28">
        <f t="shared" si="12"/>
        <v>29656.647728458189</v>
      </c>
      <c r="Z105" s="28">
        <f t="shared" si="8"/>
        <v>-22.036813657502108</v>
      </c>
      <c r="AB105">
        <f t="shared" si="13"/>
        <v>1</v>
      </c>
      <c r="AC105">
        <f t="shared" si="14"/>
        <v>0</v>
      </c>
      <c r="AD105">
        <f t="shared" si="9"/>
        <v>0</v>
      </c>
      <c r="AK105" s="28">
        <f t="shared" si="10"/>
        <v>29678.68454211569</v>
      </c>
      <c r="AS105" s="28"/>
      <c r="AT105" s="28"/>
      <c r="AU105" s="28"/>
    </row>
    <row r="106" spans="1:47" x14ac:dyDescent="0.15">
      <c r="C106" s="11">
        <v>2.0519405603408813E-2</v>
      </c>
      <c r="D106" s="11">
        <v>1.7571449279785156E-3</v>
      </c>
      <c r="E106" s="11">
        <v>0.16132045359116551</v>
      </c>
      <c r="F106" s="11">
        <v>0</v>
      </c>
      <c r="G106" s="11">
        <v>3.664126992225647E-2</v>
      </c>
      <c r="H106" s="40">
        <v>6.1253955789660353E-4</v>
      </c>
      <c r="I106" s="40">
        <v>1.4110067523755769</v>
      </c>
      <c r="J106" s="59">
        <v>0</v>
      </c>
      <c r="K106" s="59">
        <v>6570.6949681043625</v>
      </c>
      <c r="L106" s="59">
        <v>0</v>
      </c>
      <c r="M106" s="11">
        <v>0.84036833047866821</v>
      </c>
      <c r="N106" s="11">
        <v>0.75962191820144653</v>
      </c>
      <c r="O106" s="11">
        <v>0.31290614604949951</v>
      </c>
      <c r="Q106" s="59">
        <v>14.483169655543632</v>
      </c>
      <c r="R106" s="78">
        <v>565.44529738449182</v>
      </c>
      <c r="S106" s="78">
        <v>14.530063869643961</v>
      </c>
      <c r="T106" s="78">
        <v>607.17554778450892</v>
      </c>
      <c r="U106" s="78">
        <v>4.6894214100328568E-2</v>
      </c>
      <c r="V106" s="78">
        <v>41.730250400017098</v>
      </c>
      <c r="Y106" s="28"/>
      <c r="Z106" s="28"/>
      <c r="AK106" s="28"/>
      <c r="AS106" s="28"/>
      <c r="AT106" s="28"/>
    </row>
    <row r="107" spans="1:47" x14ac:dyDescent="0.15">
      <c r="C107" s="11">
        <v>4.2878836393356323E-3</v>
      </c>
      <c r="D107" s="11">
        <v>6.4906775951385498E-3</v>
      </c>
      <c r="E107" s="11">
        <v>0.75996266005349933</v>
      </c>
      <c r="F107" s="11">
        <v>0</v>
      </c>
      <c r="G107" s="11">
        <v>4.9532324075698853E-2</v>
      </c>
      <c r="H107" s="40">
        <v>5.1879212244278455E-4</v>
      </c>
      <c r="I107" s="40">
        <v>1.3874078712406981</v>
      </c>
      <c r="J107" s="59">
        <v>0</v>
      </c>
      <c r="K107" s="59">
        <v>4149.2702439427376</v>
      </c>
      <c r="L107" s="59">
        <v>0</v>
      </c>
      <c r="M107" s="11">
        <v>0.86279520392417908</v>
      </c>
      <c r="N107" s="11">
        <v>0.80037987232208252</v>
      </c>
      <c r="O107" s="11">
        <v>0.22774505615234375</v>
      </c>
      <c r="Q107" s="59">
        <v>15.126727902118079</v>
      </c>
      <c r="R107" s="78">
        <v>487.23258800674995</v>
      </c>
      <c r="S107" s="78">
        <v>15.1380629483326</v>
      </c>
      <c r="T107" s="78">
        <v>650.14336370613864</v>
      </c>
      <c r="U107" s="78">
        <v>1.1335046214520972E-2</v>
      </c>
      <c r="V107" s="78">
        <v>162.91077569938869</v>
      </c>
      <c r="Y107" s="28"/>
      <c r="Z107" s="28"/>
      <c r="AK107" s="28"/>
      <c r="AS107" s="28"/>
      <c r="AT107" s="28"/>
    </row>
    <row r="108" spans="1:47" x14ac:dyDescent="0.15">
      <c r="C108" s="11">
        <v>1.7720818519592285E-2</v>
      </c>
      <c r="D108" s="11">
        <v>3.2195627689361572E-2</v>
      </c>
      <c r="E108" s="11">
        <v>0.17057178625749977</v>
      </c>
      <c r="F108" s="11">
        <v>0</v>
      </c>
      <c r="G108" s="11">
        <v>2.9770806431770325E-2</v>
      </c>
      <c r="H108" s="40">
        <v>4.1371341046721373E-4</v>
      </c>
      <c r="I108" s="40">
        <v>1.4776021825323393</v>
      </c>
      <c r="J108" s="59">
        <v>0</v>
      </c>
      <c r="K108" s="59">
        <v>7218.0433198809624</v>
      </c>
      <c r="L108" s="59">
        <v>0</v>
      </c>
      <c r="M108" s="11">
        <v>0.83072638511657715</v>
      </c>
      <c r="N108" s="11">
        <v>0.75346070528030396</v>
      </c>
      <c r="O108" s="11">
        <v>0.25934123992919922</v>
      </c>
      <c r="Q108" s="59">
        <v>14.358293619662906</v>
      </c>
      <c r="R108" s="78">
        <v>542.96236662783792</v>
      </c>
      <c r="S108" s="78">
        <v>14.403967551210739</v>
      </c>
      <c r="T108" s="78">
        <v>604.81343370091861</v>
      </c>
      <c r="U108" s="78">
        <v>4.5673931547833391E-2</v>
      </c>
      <c r="V108" s="78">
        <v>61.851067073080685</v>
      </c>
      <c r="Y108" s="28"/>
      <c r="Z108" s="28"/>
      <c r="AK108" s="28"/>
      <c r="AS108" s="28"/>
      <c r="AT108" s="28"/>
    </row>
    <row r="109" spans="1:47" x14ac:dyDescent="0.15">
      <c r="C109" s="11">
        <v>2.1691113710403442E-2</v>
      </c>
      <c r="D109" s="11">
        <v>9.6622258424758911E-3</v>
      </c>
      <c r="E109" s="11">
        <v>0.18713401136058672</v>
      </c>
      <c r="F109" s="11">
        <v>0</v>
      </c>
      <c r="G109" s="11">
        <v>2.3423224687576294E-2</v>
      </c>
      <c r="H109" s="40">
        <v>3.7983210025307394E-4</v>
      </c>
      <c r="I109" s="40">
        <v>1.4816612455710878</v>
      </c>
      <c r="J109" s="59">
        <v>0</v>
      </c>
      <c r="K109" s="59">
        <v>4230.1183566451073</v>
      </c>
      <c r="L109" s="59">
        <v>0</v>
      </c>
      <c r="M109" s="11">
        <v>0.80714905261993408</v>
      </c>
      <c r="N109" s="11">
        <v>0.78265476226806641</v>
      </c>
      <c r="O109" s="11">
        <v>0.28100764751434326</v>
      </c>
      <c r="Q109" s="59">
        <v>13.919548168757744</v>
      </c>
      <c r="R109" s="78">
        <v>472.40691031120821</v>
      </c>
      <c r="S109" s="78">
        <v>13.942486911942078</v>
      </c>
      <c r="T109" s="78">
        <v>593.88719870340776</v>
      </c>
      <c r="U109" s="78">
        <v>2.2938743184333532E-2</v>
      </c>
      <c r="V109" s="78">
        <v>121.48028839219955</v>
      </c>
      <c r="Y109" s="28"/>
      <c r="Z109" s="28"/>
      <c r="AK109" s="28"/>
      <c r="AS109" s="28"/>
      <c r="AT109" s="28"/>
    </row>
    <row r="110" spans="1:47" x14ac:dyDescent="0.15">
      <c r="C110" s="11">
        <v>1.3876661658287048E-2</v>
      </c>
      <c r="D110" s="11">
        <v>2.344086766242981E-2</v>
      </c>
      <c r="E110" s="11">
        <v>0.17740416184750607</v>
      </c>
      <c r="F110" s="11">
        <v>0</v>
      </c>
      <c r="G110" s="11">
        <v>3.3870935440063477E-2</v>
      </c>
      <c r="H110" s="40">
        <v>4.5504817475564371E-4</v>
      </c>
      <c r="I110" s="40">
        <v>1.4586283260786186</v>
      </c>
      <c r="J110" s="59">
        <v>0</v>
      </c>
      <c r="K110" s="59">
        <v>7700.9666711091995</v>
      </c>
      <c r="L110" s="59">
        <v>0</v>
      </c>
      <c r="M110" s="11">
        <v>0.85308706760406494</v>
      </c>
      <c r="N110" s="11">
        <v>0.81316232681274414</v>
      </c>
      <c r="O110" s="11">
        <v>0.30179750919342041</v>
      </c>
      <c r="Q110" s="59">
        <v>14.815521852637886</v>
      </c>
      <c r="R110" s="78">
        <v>563.86118738152641</v>
      </c>
      <c r="S110" s="78">
        <v>14.851519991624746</v>
      </c>
      <c r="T110" s="78">
        <v>609.62154945100838</v>
      </c>
      <c r="U110" s="78">
        <v>3.599813898686044E-2</v>
      </c>
      <c r="V110" s="78">
        <v>45.760362069481971</v>
      </c>
      <c r="Y110" s="28"/>
      <c r="Z110" s="28"/>
      <c r="AK110" s="28"/>
      <c r="AS110" s="28"/>
      <c r="AT110" s="28"/>
    </row>
    <row r="111" spans="1:47" x14ac:dyDescent="0.15">
      <c r="C111" s="11">
        <v>1.876559853553772E-2</v>
      </c>
      <c r="D111" s="11">
        <v>1.8493384122848511E-2</v>
      </c>
      <c r="E111" s="11">
        <v>0.21576392199886629</v>
      </c>
      <c r="F111" s="11">
        <v>0</v>
      </c>
      <c r="G111" s="11">
        <v>2.2010773420333862E-2</v>
      </c>
      <c r="H111" s="40">
        <v>4.4996338054289608E-4</v>
      </c>
      <c r="I111" s="40">
        <v>1.4416199444621578</v>
      </c>
      <c r="J111" s="59">
        <v>0</v>
      </c>
      <c r="K111" s="59">
        <v>4748.3784146606922</v>
      </c>
      <c r="L111" s="59">
        <v>0</v>
      </c>
      <c r="M111" s="11">
        <v>0.8091353178024292</v>
      </c>
      <c r="N111" s="11">
        <v>0.70324409008026123</v>
      </c>
      <c r="O111" s="11">
        <v>0.30138981342315674</v>
      </c>
      <c r="Q111" s="59">
        <v>13.969557329728012</v>
      </c>
      <c r="R111" s="78">
        <v>485.99559653783075</v>
      </c>
      <c r="S111" s="78">
        <v>14.01207601003321</v>
      </c>
      <c r="T111" s="78">
        <v>599.13809637930171</v>
      </c>
      <c r="U111" s="78">
        <v>4.2518680305198231E-2</v>
      </c>
      <c r="V111" s="78">
        <v>113.14249984147096</v>
      </c>
      <c r="Y111" s="28"/>
      <c r="Z111" s="28"/>
      <c r="AK111" s="28"/>
      <c r="AS111" s="28"/>
      <c r="AT111" s="28"/>
    </row>
    <row r="112" spans="1:47" x14ac:dyDescent="0.15">
      <c r="C112" s="11">
        <v>2.7348309755325317E-2</v>
      </c>
      <c r="D112" s="11">
        <v>4.1140615940093994E-3</v>
      </c>
      <c r="E112" s="11">
        <v>0.22278420969851714</v>
      </c>
      <c r="F112" s="11">
        <v>0</v>
      </c>
      <c r="G112" s="11">
        <v>4.0401369333267212E-2</v>
      </c>
      <c r="H112" s="40">
        <v>5.7060522331564979E-4</v>
      </c>
      <c r="I112" s="40">
        <v>1.412437089055274</v>
      </c>
      <c r="J112" s="59">
        <v>0</v>
      </c>
      <c r="K112" s="59">
        <v>4105.0883010029793</v>
      </c>
      <c r="L112" s="59">
        <v>0</v>
      </c>
      <c r="M112" s="11">
        <v>0.8103492259979248</v>
      </c>
      <c r="N112" s="11">
        <v>0.77998805046081543</v>
      </c>
      <c r="O112" s="11">
        <v>0.28255385160446167</v>
      </c>
      <c r="Q112" s="59">
        <v>13.885151989424575</v>
      </c>
      <c r="R112" s="78">
        <v>495.56892297696277</v>
      </c>
      <c r="S112" s="78">
        <v>13.913789498105439</v>
      </c>
      <c r="T112" s="78">
        <v>601.99386448630025</v>
      </c>
      <c r="U112" s="78">
        <v>2.8637508680864343E-2</v>
      </c>
      <c r="V112" s="78">
        <v>106.42494150933749</v>
      </c>
      <c r="Y112" s="28"/>
      <c r="Z112" s="28"/>
      <c r="AK112" s="28"/>
      <c r="AS112" s="28"/>
      <c r="AT112" s="28"/>
    </row>
    <row r="113" spans="3:46" x14ac:dyDescent="0.15">
      <c r="C113" s="11">
        <v>9.0257078409194946E-3</v>
      </c>
      <c r="D113" s="11">
        <v>2.2700369358062744E-2</v>
      </c>
      <c r="E113" s="11">
        <v>0.29714321751721984</v>
      </c>
      <c r="F113" s="11">
        <v>0</v>
      </c>
      <c r="G113" s="11">
        <v>1.9571632146835327E-2</v>
      </c>
      <c r="H113" s="40">
        <v>3.9596715609676572E-4</v>
      </c>
      <c r="I113" s="40">
        <v>1.4296810190692517</v>
      </c>
      <c r="J113" s="59">
        <v>0</v>
      </c>
      <c r="K113" s="59">
        <v>4857.7180132269859</v>
      </c>
      <c r="L113" s="59">
        <v>0</v>
      </c>
      <c r="M113" s="11">
        <v>0.84171640872955322</v>
      </c>
      <c r="N113" s="11">
        <v>0.78719842433929443</v>
      </c>
      <c r="O113" s="11">
        <v>0.31619298458099365</v>
      </c>
      <c r="Q113" s="59">
        <v>14.697875074110364</v>
      </c>
      <c r="R113" s="78">
        <v>473.78092894186358</v>
      </c>
      <c r="S113" s="78">
        <v>14.722798990328926</v>
      </c>
      <c r="T113" s="78">
        <v>602.96782234658031</v>
      </c>
      <c r="U113" s="78">
        <v>2.4923916218561715E-2</v>
      </c>
      <c r="V113" s="78">
        <v>129.18689340471673</v>
      </c>
      <c r="Y113" s="28"/>
      <c r="Z113" s="28"/>
      <c r="AK113" s="28"/>
      <c r="AS113" s="28"/>
      <c r="AT113" s="28"/>
    </row>
    <row r="114" spans="3:46" x14ac:dyDescent="0.15">
      <c r="C114" s="11">
        <v>1.620204746723175E-2</v>
      </c>
      <c r="D114" s="11">
        <v>2.3122295737266541E-2</v>
      </c>
      <c r="E114" s="11">
        <v>0.16590334942551782</v>
      </c>
      <c r="F114" s="11">
        <v>0</v>
      </c>
      <c r="G114" s="11">
        <v>3.9301276206970215E-2</v>
      </c>
      <c r="H114" s="40">
        <v>3.0567290979714653E-4</v>
      </c>
      <c r="I114" s="40">
        <v>1.5254114606892539</v>
      </c>
      <c r="J114" s="59">
        <v>0</v>
      </c>
      <c r="K114" s="59">
        <v>3144.6991488337517</v>
      </c>
      <c r="L114" s="59">
        <v>0</v>
      </c>
      <c r="M114" s="11">
        <v>0.90166807174682617</v>
      </c>
      <c r="N114" s="11">
        <v>0.74352413415908813</v>
      </c>
      <c r="O114" s="11">
        <v>0.27199697494506836</v>
      </c>
      <c r="Q114" s="59">
        <v>15.59960297544449</v>
      </c>
      <c r="R114" s="78">
        <v>452.3451942449409</v>
      </c>
      <c r="S114" s="78">
        <v>15.657003158014229</v>
      </c>
      <c r="T114" s="78">
        <v>588.81381475907438</v>
      </c>
      <c r="U114" s="78">
        <v>5.7400182569738334E-2</v>
      </c>
      <c r="V114" s="78">
        <v>136.46862051413348</v>
      </c>
      <c r="Y114" s="28"/>
      <c r="Z114" s="28"/>
      <c r="AK114" s="28"/>
      <c r="AS114" s="28"/>
      <c r="AT114" s="28"/>
    </row>
    <row r="115" spans="3:46" x14ac:dyDescent="0.15">
      <c r="C115" s="11">
        <v>1.5698045492172241E-2</v>
      </c>
      <c r="D115" s="11">
        <v>1.7671793699264526E-2</v>
      </c>
      <c r="E115" s="11">
        <v>0.33151756570824759</v>
      </c>
      <c r="F115" s="11">
        <v>0</v>
      </c>
      <c r="G115" s="11">
        <v>5.6085288524627686E-2</v>
      </c>
      <c r="H115" s="40">
        <v>3.7519010670220639E-4</v>
      </c>
      <c r="I115" s="40">
        <v>1.4818976899859899</v>
      </c>
      <c r="J115" s="59">
        <v>0</v>
      </c>
      <c r="K115" s="59">
        <v>5100.8374430239201</v>
      </c>
      <c r="L115" s="59">
        <v>0</v>
      </c>
      <c r="M115" s="11">
        <v>0.89008688926696777</v>
      </c>
      <c r="N115" s="11">
        <v>0.71116781234741211</v>
      </c>
      <c r="O115" s="11">
        <v>0.27056390047073364</v>
      </c>
      <c r="Q115" s="59">
        <v>15.395323993914584</v>
      </c>
      <c r="R115" s="78">
        <v>504.92599174854553</v>
      </c>
      <c r="S115" s="78">
        <v>15.448442965588459</v>
      </c>
      <c r="T115" s="78">
        <v>616.19654406394773</v>
      </c>
      <c r="U115" s="78">
        <v>5.3118971673875137E-2</v>
      </c>
      <c r="V115" s="78">
        <v>111.2705523154022</v>
      </c>
      <c r="Y115" s="28"/>
      <c r="Z115" s="28"/>
      <c r="AK115" s="28"/>
      <c r="AS115" s="28"/>
      <c r="AT115" s="28"/>
    </row>
    <row r="116" spans="3:46" x14ac:dyDescent="0.15">
      <c r="C116" s="11">
        <v>2.2792607545852661E-2</v>
      </c>
      <c r="D116" s="11">
        <v>2.1382629871368408E-2</v>
      </c>
      <c r="E116" s="11">
        <v>0.34803805185969644</v>
      </c>
      <c r="F116" s="11">
        <v>0</v>
      </c>
      <c r="G116" s="11">
        <v>5.2801251411437988E-2</v>
      </c>
      <c r="H116" s="40">
        <v>4.208596878426408E-4</v>
      </c>
      <c r="I116" s="40">
        <v>1.3651939875091565</v>
      </c>
      <c r="J116" s="59">
        <v>0</v>
      </c>
      <c r="K116" s="59">
        <v>4014.7337131202221</v>
      </c>
      <c r="L116" s="59">
        <v>0</v>
      </c>
      <c r="M116" s="11">
        <v>0.86191681027412415</v>
      </c>
      <c r="N116" s="11">
        <v>0.77382552623748779</v>
      </c>
      <c r="O116" s="11">
        <v>0.31380081176757812</v>
      </c>
      <c r="Q116" s="59">
        <v>14.835288181131689</v>
      </c>
      <c r="R116" s="78">
        <v>462.30866421818803</v>
      </c>
      <c r="S116" s="78">
        <v>14.862682570173952</v>
      </c>
      <c r="T116" s="78">
        <v>602.97369811055501</v>
      </c>
      <c r="U116" s="78">
        <v>2.7394389042262546E-2</v>
      </c>
      <c r="V116" s="78">
        <v>140.66503389236698</v>
      </c>
      <c r="Y116" s="28"/>
      <c r="Z116" s="28"/>
      <c r="AK116" s="28"/>
      <c r="AS116" s="28"/>
      <c r="AT116" s="28"/>
    </row>
    <row r="117" spans="3:46" x14ac:dyDescent="0.15">
      <c r="C117" s="11">
        <v>1.2927994132041931E-2</v>
      </c>
      <c r="D117" s="11">
        <v>2.8798580169677734E-2</v>
      </c>
      <c r="E117" s="11">
        <v>0.29185821265838213</v>
      </c>
      <c r="F117" s="11">
        <v>0</v>
      </c>
      <c r="G117" s="11">
        <v>4.8125237226486206E-2</v>
      </c>
      <c r="H117" s="40">
        <v>4.3345487026289636E-4</v>
      </c>
      <c r="I117" s="40">
        <v>1.473078249684532</v>
      </c>
      <c r="J117" s="59">
        <v>0</v>
      </c>
      <c r="K117" s="59">
        <v>6908.150389790535</v>
      </c>
      <c r="L117" s="59">
        <v>0</v>
      </c>
      <c r="M117" s="11">
        <v>0.86912789940834045</v>
      </c>
      <c r="N117" s="11">
        <v>0.69698977470397949</v>
      </c>
      <c r="O117" s="11">
        <v>0.286224365234375</v>
      </c>
      <c r="Q117" s="59">
        <v>15.065189216557036</v>
      </c>
      <c r="R117" s="78">
        <v>556.50864902203296</v>
      </c>
      <c r="S117" s="78">
        <v>15.12727836669314</v>
      </c>
      <c r="T117" s="78">
        <v>627.08121304247868</v>
      </c>
      <c r="U117" s="78">
        <v>6.208915013610472E-2</v>
      </c>
      <c r="V117" s="78">
        <v>70.572564020445725</v>
      </c>
      <c r="Y117" s="28"/>
      <c r="Z117" s="28"/>
      <c r="AK117" s="28"/>
      <c r="AS117" s="28"/>
      <c r="AT117" s="28"/>
    </row>
    <row r="118" spans="3:46" x14ac:dyDescent="0.15">
      <c r="C118" s="11">
        <v>5.3848773241043091E-3</v>
      </c>
      <c r="D118" s="11">
        <v>4.0553569793701172E-2</v>
      </c>
      <c r="E118" s="11">
        <v>0.23560000978866782</v>
      </c>
      <c r="F118" s="11">
        <v>0</v>
      </c>
      <c r="G118" s="11">
        <v>3.200918436050415E-2</v>
      </c>
      <c r="H118" s="40">
        <v>5.920769926157283E-4</v>
      </c>
      <c r="I118" s="40">
        <v>1.4080536506810515</v>
      </c>
      <c r="J118" s="59">
        <v>0</v>
      </c>
      <c r="K118" s="59">
        <v>6018.2507149875164</v>
      </c>
      <c r="L118" s="59">
        <v>0</v>
      </c>
      <c r="M118" s="11">
        <v>0.85833686590194702</v>
      </c>
      <c r="N118" s="11">
        <v>0.74788433313369751</v>
      </c>
      <c r="O118" s="11">
        <v>0.29076981544494629</v>
      </c>
      <c r="Q118" s="59">
        <v>15.000457485603601</v>
      </c>
      <c r="R118" s="78">
        <v>541.85385972022232</v>
      </c>
      <c r="S118" s="78">
        <v>15.060649705989594</v>
      </c>
      <c r="T118" s="78">
        <v>614.40601952393888</v>
      </c>
      <c r="U118" s="78">
        <v>6.0192220385992812E-2</v>
      </c>
      <c r="V118" s="78">
        <v>72.552159803716563</v>
      </c>
      <c r="Y118" s="28"/>
      <c r="Z118" s="28"/>
      <c r="AK118" s="28"/>
      <c r="AS118" s="28"/>
      <c r="AT118" s="28"/>
    </row>
    <row r="119" spans="3:46" x14ac:dyDescent="0.15">
      <c r="C119" s="11">
        <v>1.3320967555046082E-2</v>
      </c>
      <c r="D119" s="11">
        <v>1.7658144235610962E-2</v>
      </c>
      <c r="E119" s="11">
        <v>0.43513276655991884</v>
      </c>
      <c r="F119" s="11">
        <v>0</v>
      </c>
      <c r="G119" s="11">
        <v>7.7822446823120117E-2</v>
      </c>
      <c r="H119" s="40">
        <v>4.5387139053201694E-4</v>
      </c>
      <c r="I119" s="40">
        <v>1.5118469523358729</v>
      </c>
      <c r="J119" s="59">
        <v>0</v>
      </c>
      <c r="K119" s="59">
        <v>4600.2748422324657</v>
      </c>
      <c r="L119" s="59">
        <v>0</v>
      </c>
      <c r="M119" s="11">
        <v>0.8619886040687561</v>
      </c>
      <c r="N119" s="11">
        <v>0.73585283756256104</v>
      </c>
      <c r="O119" s="11">
        <v>0.32048594951629639</v>
      </c>
      <c r="Q119" s="59">
        <v>14.936865483042409</v>
      </c>
      <c r="R119" s="78">
        <v>538.33959881003148</v>
      </c>
      <c r="S119" s="78">
        <v>14.984943157222276</v>
      </c>
      <c r="T119" s="78">
        <v>642.61017759261597</v>
      </c>
      <c r="U119" s="78">
        <v>4.8077674179866747E-2</v>
      </c>
      <c r="V119" s="78">
        <v>104.27057878258449</v>
      </c>
      <c r="Y119" s="28"/>
      <c r="Z119" s="28"/>
      <c r="AK119" s="28"/>
      <c r="AS119" s="28"/>
      <c r="AT119" s="28"/>
    </row>
    <row r="120" spans="3:46" x14ac:dyDescent="0.15">
      <c r="C120" s="11">
        <v>4.7963857650756836E-3</v>
      </c>
      <c r="D120" s="11">
        <v>2.7517616748809814E-2</v>
      </c>
      <c r="E120" s="11">
        <v>0.16102027731145632</v>
      </c>
      <c r="F120" s="11">
        <v>0</v>
      </c>
      <c r="G120" s="11">
        <v>1.5442132949829102E-2</v>
      </c>
      <c r="H120" s="40">
        <v>3.5850053249962934E-4</v>
      </c>
      <c r="I120" s="40">
        <v>1.5420018307679377</v>
      </c>
      <c r="J120" s="59">
        <v>0</v>
      </c>
      <c r="K120" s="59">
        <v>4432.7974319458008</v>
      </c>
      <c r="L120" s="59">
        <v>0</v>
      </c>
      <c r="M120" s="11">
        <v>0.82567042112350464</v>
      </c>
      <c r="N120" s="11">
        <v>0.76773405075073242</v>
      </c>
      <c r="O120" s="11">
        <v>0.29663151502609253</v>
      </c>
      <c r="Q120" s="59">
        <v>14.467210871008252</v>
      </c>
      <c r="R120" s="78">
        <v>483.4867589932602</v>
      </c>
      <c r="S120" s="78">
        <v>14.506593525122272</v>
      </c>
      <c r="T120" s="78">
        <v>593.66568029205689</v>
      </c>
      <c r="U120" s="78">
        <v>3.9382654114019644E-2</v>
      </c>
      <c r="V120" s="78">
        <v>110.17892129879669</v>
      </c>
      <c r="Y120" s="28"/>
      <c r="Z120" s="28"/>
      <c r="AK120" s="28"/>
      <c r="AS120" s="28"/>
      <c r="AT120" s="28"/>
    </row>
    <row r="121" spans="3:46" x14ac:dyDescent="0.15">
      <c r="C121" s="11">
        <v>2.3763000965118408E-2</v>
      </c>
      <c r="D121" s="11">
        <v>5.3330957889556885E-3</v>
      </c>
      <c r="E121" s="11">
        <v>0.39726142539569714</v>
      </c>
      <c r="F121" s="11">
        <v>0</v>
      </c>
      <c r="G121" s="11">
        <v>5.747222900390625E-2</v>
      </c>
      <c r="H121" s="40">
        <v>3.4293475487542831E-4</v>
      </c>
      <c r="I121" s="40">
        <v>1.4838115754100891</v>
      </c>
      <c r="J121" s="59">
        <v>0</v>
      </c>
      <c r="K121" s="59">
        <v>8740.7603859901428</v>
      </c>
      <c r="L121" s="59">
        <v>0</v>
      </c>
      <c r="M121" s="11">
        <v>0.85472720861434937</v>
      </c>
      <c r="N121" s="11">
        <v>0.76493477821350098</v>
      </c>
      <c r="O121" s="11">
        <v>0.32775908708572388</v>
      </c>
      <c r="Q121" s="59">
        <v>14.694009496572308</v>
      </c>
      <c r="R121" s="78">
        <v>569.43052720786943</v>
      </c>
      <c r="S121" s="78">
        <v>14.720791128857114</v>
      </c>
      <c r="T121" s="78">
        <v>649.35457917204837</v>
      </c>
      <c r="U121" s="78">
        <v>2.6781632284805568E-2</v>
      </c>
      <c r="V121" s="78">
        <v>79.924051964178943</v>
      </c>
      <c r="Y121" s="28"/>
      <c r="Z121" s="28"/>
      <c r="AK121" s="28"/>
      <c r="AS121" s="28"/>
      <c r="AT121" s="28"/>
    </row>
    <row r="122" spans="3:46" x14ac:dyDescent="0.15">
      <c r="C122" s="11">
        <v>1.9397914409637451E-2</v>
      </c>
      <c r="D122" s="11">
        <v>6.5225958824157715E-3</v>
      </c>
      <c r="E122" s="11">
        <v>0.373401853419709</v>
      </c>
      <c r="F122" s="11">
        <v>0</v>
      </c>
      <c r="G122" s="11">
        <v>7.3645114898681641E-3</v>
      </c>
      <c r="H122" s="40">
        <v>4.7447159247038782E-4</v>
      </c>
      <c r="I122" s="40">
        <v>1.5146576931011655</v>
      </c>
      <c r="J122" s="59">
        <v>0</v>
      </c>
      <c r="K122" s="59">
        <v>5811.8230663239956</v>
      </c>
      <c r="L122" s="59">
        <v>0</v>
      </c>
      <c r="M122" s="11">
        <v>0.85351821780204773</v>
      </c>
      <c r="N122" s="11">
        <v>0.76221466064453125</v>
      </c>
      <c r="O122" s="11">
        <v>0.34328854084014893</v>
      </c>
      <c r="Q122" s="59">
        <v>14.724198313212826</v>
      </c>
      <c r="R122" s="78">
        <v>527.76843955709433</v>
      </c>
      <c r="S122" s="78">
        <v>14.761096823092258</v>
      </c>
      <c r="T122" s="78">
        <v>629.75181941599965</v>
      </c>
      <c r="U122" s="78">
        <v>3.6898509879431884E-2</v>
      </c>
      <c r="V122" s="78">
        <v>101.98337985890532</v>
      </c>
      <c r="Y122" s="28"/>
      <c r="Z122" s="28"/>
      <c r="AK122" s="28"/>
      <c r="AS122" s="28"/>
      <c r="AT122" s="28"/>
    </row>
    <row r="123" spans="3:46" x14ac:dyDescent="0.15">
      <c r="C123" s="11">
        <v>5.1398515701293945E-2</v>
      </c>
      <c r="D123" s="11">
        <v>2.364116907119751E-2</v>
      </c>
      <c r="E123" s="11">
        <v>0.38510115336149275</v>
      </c>
      <c r="F123" s="11">
        <v>0</v>
      </c>
      <c r="G123" s="11">
        <v>2.4594783782958984E-2</v>
      </c>
      <c r="H123" s="40">
        <v>3.1703376732220766E-4</v>
      </c>
      <c r="I123" s="40">
        <v>1.5516417512040683</v>
      </c>
      <c r="J123" s="59">
        <v>0</v>
      </c>
      <c r="K123" s="59">
        <v>5163.7203432619572</v>
      </c>
      <c r="L123" s="59">
        <v>0</v>
      </c>
      <c r="M123" s="11">
        <v>0.86514213681221008</v>
      </c>
      <c r="N123" s="11">
        <v>0.75742512941360474</v>
      </c>
      <c r="O123" s="11">
        <v>0.30322009325027466</v>
      </c>
      <c r="Q123" s="59">
        <v>14.439795568457887</v>
      </c>
      <c r="R123" s="78">
        <v>489.537996809893</v>
      </c>
      <c r="S123" s="78">
        <v>14.474097513950284</v>
      </c>
      <c r="T123" s="78">
        <v>616.22425810321977</v>
      </c>
      <c r="U123" s="78">
        <v>3.4301945492396513E-2</v>
      </c>
      <c r="V123" s="78">
        <v>126.68626129332677</v>
      </c>
      <c r="Y123" s="28"/>
      <c r="Z123" s="28"/>
      <c r="AK123" s="28"/>
      <c r="AS123" s="28"/>
      <c r="AT123" s="28"/>
    </row>
    <row r="124" spans="3:46" x14ac:dyDescent="0.15">
      <c r="C124" s="11">
        <v>3.0695825815200806E-2</v>
      </c>
      <c r="D124" s="11">
        <v>3.2884925603866577E-3</v>
      </c>
      <c r="E124" s="11">
        <v>0.34414204335392035</v>
      </c>
      <c r="F124" s="11">
        <v>0</v>
      </c>
      <c r="G124" s="11">
        <v>2.6697099208831787E-2</v>
      </c>
      <c r="H124" s="40">
        <v>4.0180153654257309E-4</v>
      </c>
      <c r="I124" s="40">
        <v>1.5245568967037468</v>
      </c>
      <c r="J124" s="59">
        <v>0</v>
      </c>
      <c r="K124" s="59">
        <v>5278.0937403440475</v>
      </c>
      <c r="L124" s="59">
        <v>0</v>
      </c>
      <c r="M124" s="11">
        <v>0.8753170371055603</v>
      </c>
      <c r="N124" s="11">
        <v>0.80799698829650879</v>
      </c>
      <c r="O124" s="11">
        <v>0.33236384391784668</v>
      </c>
      <c r="Q124" s="59">
        <v>14.939608333170733</v>
      </c>
      <c r="R124" s="78">
        <v>512.21677790763556</v>
      </c>
      <c r="S124" s="78">
        <v>14.970171842965716</v>
      </c>
      <c r="T124" s="78">
        <v>620.2691350941368</v>
      </c>
      <c r="U124" s="78">
        <v>3.0563509794982124E-2</v>
      </c>
      <c r="V124" s="78">
        <v>108.05235718650124</v>
      </c>
      <c r="Y124" s="28"/>
      <c r="Z124" s="28"/>
      <c r="AK124" s="28"/>
      <c r="AS124" s="28"/>
      <c r="AT124" s="28"/>
    </row>
    <row r="125" spans="3:46" x14ac:dyDescent="0.15">
      <c r="C125" s="11">
        <v>4.9010813236236572E-3</v>
      </c>
      <c r="D125" s="11">
        <v>1.9200459122657776E-2</v>
      </c>
      <c r="E125" s="11">
        <v>0.35497190220630093</v>
      </c>
      <c r="F125" s="11">
        <v>0</v>
      </c>
      <c r="G125" s="11">
        <v>5.9935271739959717E-2</v>
      </c>
      <c r="H125" s="40">
        <v>3.2541152913041711E-4</v>
      </c>
      <c r="I125" s="40">
        <v>1.6018274696469992</v>
      </c>
      <c r="J125" s="59">
        <v>0</v>
      </c>
      <c r="K125" s="59">
        <v>4189.7990740835667</v>
      </c>
      <c r="L125" s="59">
        <v>0</v>
      </c>
      <c r="M125" s="11">
        <v>0.88582146167755127</v>
      </c>
      <c r="N125" s="11">
        <v>0.71459126472473145</v>
      </c>
      <c r="O125" s="11">
        <v>0.31117695569992065</v>
      </c>
      <c r="Q125" s="59">
        <v>15.473819647703504</v>
      </c>
      <c r="R125" s="78">
        <v>508.80952247754584</v>
      </c>
      <c r="S125" s="78">
        <v>15.535335954798279</v>
      </c>
      <c r="T125" s="78">
        <v>620.34848117313652</v>
      </c>
      <c r="U125" s="78">
        <v>6.1516307094775513E-2</v>
      </c>
      <c r="V125" s="78">
        <v>111.53895869559068</v>
      </c>
      <c r="Y125" s="28"/>
      <c r="Z125" s="28"/>
      <c r="AK125" s="28"/>
      <c r="AS125" s="28"/>
      <c r="AT125" s="28"/>
    </row>
    <row r="126" spans="3:46" x14ac:dyDescent="0.15">
      <c r="C126" s="11">
        <v>4.1841506958007812E-2</v>
      </c>
      <c r="D126" s="11">
        <v>1.582789421081543E-2</v>
      </c>
      <c r="E126" s="11">
        <v>0.24357194055686029</v>
      </c>
      <c r="F126" s="11">
        <v>0</v>
      </c>
      <c r="G126" s="11">
        <v>4.8763036727905273E-2</v>
      </c>
      <c r="H126" s="40">
        <v>5.9847437978932986E-4</v>
      </c>
      <c r="I126" s="40">
        <v>1.3508989128159643</v>
      </c>
      <c r="J126" s="59">
        <v>0</v>
      </c>
      <c r="K126" s="59">
        <v>5983.0211102962494</v>
      </c>
      <c r="L126" s="59">
        <v>0</v>
      </c>
      <c r="M126" s="11">
        <v>0.87668383121490479</v>
      </c>
      <c r="N126" s="11">
        <v>0.69626057147979736</v>
      </c>
      <c r="O126" s="11">
        <v>0.30215418338775635</v>
      </c>
      <c r="Q126" s="59">
        <v>14.756923423279465</v>
      </c>
      <c r="R126" s="78">
        <v>527.19219114727719</v>
      </c>
      <c r="S126" s="78">
        <v>14.817535507366044</v>
      </c>
      <c r="T126" s="78">
        <v>611.87117250529082</v>
      </c>
      <c r="U126" s="78">
        <v>6.0612084086578477E-2</v>
      </c>
      <c r="V126" s="78">
        <v>84.67898135801363</v>
      </c>
      <c r="Y126" s="28"/>
      <c r="Z126" s="28"/>
      <c r="AK126" s="28"/>
      <c r="AS126" s="28"/>
      <c r="AT126" s="28"/>
    </row>
    <row r="127" spans="3:46" x14ac:dyDescent="0.15">
      <c r="C127" s="11">
        <v>2.3097708821296692E-2</v>
      </c>
      <c r="D127" s="11">
        <v>1.0152131319046021E-2</v>
      </c>
      <c r="E127" s="11">
        <v>0.24907987863247413</v>
      </c>
      <c r="F127" s="11">
        <v>0</v>
      </c>
      <c r="G127" s="11">
        <v>5.9478044509887695E-2</v>
      </c>
      <c r="H127" s="40">
        <v>4.3023940528193438E-4</v>
      </c>
      <c r="I127" s="40">
        <v>1.4469664730325063</v>
      </c>
      <c r="J127" s="59">
        <v>0</v>
      </c>
      <c r="K127" s="59">
        <v>6118.4307560324669</v>
      </c>
      <c r="L127" s="59">
        <v>0</v>
      </c>
      <c r="M127" s="11">
        <v>0.81254887580871582</v>
      </c>
      <c r="N127" s="11">
        <v>0.73548364639282227</v>
      </c>
      <c r="O127" s="11">
        <v>0.33443081378936768</v>
      </c>
      <c r="Q127" s="59">
        <v>13.974944723702047</v>
      </c>
      <c r="R127" s="78">
        <v>533.21730967817496</v>
      </c>
      <c r="S127" s="78">
        <v>14.009357600638014</v>
      </c>
      <c r="T127" s="78">
        <v>614.12966970597051</v>
      </c>
      <c r="U127" s="78">
        <v>3.4412876935967063E-2</v>
      </c>
      <c r="V127" s="78">
        <v>80.912360027795557</v>
      </c>
      <c r="Y127" s="28"/>
      <c r="Z127" s="28"/>
      <c r="AK127" s="28"/>
      <c r="AS127" s="28"/>
      <c r="AT127" s="28"/>
    </row>
    <row r="128" spans="3:46" x14ac:dyDescent="0.15">
      <c r="C128" s="11">
        <v>1.1238604784011841E-2</v>
      </c>
      <c r="D128" s="11">
        <v>2.0795062184333801E-2</v>
      </c>
      <c r="E128" s="11">
        <v>0.31018502217138599</v>
      </c>
      <c r="F128" s="11">
        <v>0</v>
      </c>
      <c r="G128" s="11">
        <v>5.909264087677002E-2</v>
      </c>
      <c r="H128" s="40">
        <v>5.4773849490676941E-4</v>
      </c>
      <c r="I128" s="40">
        <v>1.5677288385279495</v>
      </c>
      <c r="J128" s="59">
        <v>0</v>
      </c>
      <c r="K128" s="59">
        <v>9294.8973178863525</v>
      </c>
      <c r="L128" s="59">
        <v>0</v>
      </c>
      <c r="M128" s="11">
        <v>0.8652682900428772</v>
      </c>
      <c r="N128" s="11">
        <v>0.67617225646972656</v>
      </c>
      <c r="O128" s="11">
        <v>0.31252360343933105</v>
      </c>
      <c r="Q128" s="59">
        <v>14.961545354335227</v>
      </c>
      <c r="R128" s="78">
        <v>773.58345260379883</v>
      </c>
      <c r="S128" s="78">
        <v>15.06405688681035</v>
      </c>
      <c r="T128" s="78">
        <v>699.47818425868525</v>
      </c>
      <c r="U128" s="78">
        <v>0.10251153247512335</v>
      </c>
      <c r="V128" s="78">
        <v>-74.105268345113586</v>
      </c>
      <c r="Y128" s="28"/>
      <c r="Z128" s="28"/>
      <c r="AK128" s="28"/>
      <c r="AS128" s="28"/>
      <c r="AT128" s="28"/>
    </row>
    <row r="129" spans="3:46" x14ac:dyDescent="0.15">
      <c r="C129" s="11">
        <v>3.3386409282684326E-2</v>
      </c>
      <c r="D129" s="11">
        <v>2.5480568408966064E-2</v>
      </c>
      <c r="E129" s="11">
        <v>0.25473903216939348</v>
      </c>
      <c r="F129" s="11">
        <v>0</v>
      </c>
      <c r="G129" s="11">
        <v>2.5597065687179565E-2</v>
      </c>
      <c r="H129" s="40">
        <v>4.3006629131164814E-4</v>
      </c>
      <c r="I129" s="40">
        <v>1.5438604161994005</v>
      </c>
      <c r="J129" s="59">
        <v>0</v>
      </c>
      <c r="K129" s="59">
        <v>7429.216057062149</v>
      </c>
      <c r="L129" s="59">
        <v>0</v>
      </c>
      <c r="M129" s="11">
        <v>0.85865747928619385</v>
      </c>
      <c r="N129" s="11">
        <v>0.80052578449249268</v>
      </c>
      <c r="O129" s="11">
        <v>0.26714766025543213</v>
      </c>
      <c r="Q129" s="59">
        <v>14.600606430168483</v>
      </c>
      <c r="R129" s="78">
        <v>579.53703808925127</v>
      </c>
      <c r="S129" s="78">
        <v>14.644968455252693</v>
      </c>
      <c r="T129" s="78">
        <v>627.15225191688012</v>
      </c>
      <c r="U129" s="78">
        <v>4.4362025084209833E-2</v>
      </c>
      <c r="V129" s="78">
        <v>47.61521382762885</v>
      </c>
      <c r="Y129" s="28"/>
      <c r="Z129" s="28"/>
      <c r="AK129" s="28"/>
      <c r="AS129" s="28"/>
      <c r="AT129" s="28"/>
    </row>
    <row r="130" spans="3:46" x14ac:dyDescent="0.15">
      <c r="C130" s="11">
        <v>4.5650959014892578E-2</v>
      </c>
      <c r="D130" s="11">
        <v>4.178464412689209E-2</v>
      </c>
      <c r="E130" s="11">
        <v>0.30963006783813429</v>
      </c>
      <c r="F130" s="11">
        <v>0</v>
      </c>
      <c r="G130" s="11">
        <v>4.2408555746078491E-2</v>
      </c>
      <c r="H130" s="40">
        <v>4.7415673721207572E-4</v>
      </c>
      <c r="I130" s="40">
        <v>1.4219544596172928</v>
      </c>
      <c r="J130" s="59">
        <v>0</v>
      </c>
      <c r="K130" s="59">
        <v>4992.1870231628418</v>
      </c>
      <c r="L130" s="59">
        <v>0</v>
      </c>
      <c r="M130" s="11">
        <v>0.85892099142074585</v>
      </c>
      <c r="N130" s="11">
        <v>0.77290713787078857</v>
      </c>
      <c r="O130" s="11">
        <v>0.29550886154174805</v>
      </c>
      <c r="Q130" s="59">
        <v>14.419709588625201</v>
      </c>
      <c r="R130" s="78">
        <v>497.79569682145666</v>
      </c>
      <c r="S130" s="78">
        <v>14.460392987122182</v>
      </c>
      <c r="T130" s="78">
        <v>611.53446991483304</v>
      </c>
      <c r="U130" s="78">
        <v>4.0683398496980772E-2</v>
      </c>
      <c r="V130" s="78">
        <v>113.73877309337638</v>
      </c>
      <c r="Y130" s="28"/>
      <c r="Z130" s="28"/>
      <c r="AK130" s="28"/>
      <c r="AS130" s="28"/>
      <c r="AT130" s="28"/>
    </row>
    <row r="131" spans="3:46" x14ac:dyDescent="0.15">
      <c r="C131" s="11">
        <v>1.5444397926330566E-2</v>
      </c>
      <c r="D131" s="11">
        <v>6.2653422355651855E-3</v>
      </c>
      <c r="E131" s="11">
        <v>0.17202895780745148</v>
      </c>
      <c r="F131" s="11">
        <v>0</v>
      </c>
      <c r="G131" s="11">
        <v>4.4485807418823242E-2</v>
      </c>
      <c r="H131" s="40">
        <v>5.1275520315146987E-4</v>
      </c>
      <c r="I131" s="40">
        <v>1.3395271715640054</v>
      </c>
      <c r="J131" s="59">
        <v>0</v>
      </c>
      <c r="K131" s="59">
        <v>6332.1879133582115</v>
      </c>
      <c r="L131" s="59">
        <v>0</v>
      </c>
      <c r="M131" s="11">
        <v>0.84325218200683594</v>
      </c>
      <c r="N131" s="11">
        <v>0.81199026107788086</v>
      </c>
      <c r="O131" s="11">
        <v>0.25043046474456787</v>
      </c>
      <c r="Q131" s="59">
        <v>14.633978226330871</v>
      </c>
      <c r="R131" s="78">
        <v>512.24468993185508</v>
      </c>
      <c r="S131" s="78">
        <v>14.659426205308389</v>
      </c>
      <c r="T131" s="78">
        <v>599.58528318035223</v>
      </c>
      <c r="U131" s="78">
        <v>2.5447978977517494E-2</v>
      </c>
      <c r="V131" s="78">
        <v>87.340593248497157</v>
      </c>
      <c r="Y131" s="28"/>
      <c r="Z131" s="28"/>
      <c r="AK131" s="28"/>
      <c r="AS131" s="28"/>
      <c r="AT131" s="28"/>
    </row>
    <row r="132" spans="3:46" x14ac:dyDescent="0.15">
      <c r="C132" s="11">
        <v>3.3834099769592285E-2</v>
      </c>
      <c r="D132" s="11">
        <v>1.5083074569702148E-2</v>
      </c>
      <c r="E132" s="11">
        <v>0.17939039214418362</v>
      </c>
      <c r="F132" s="11">
        <v>0</v>
      </c>
      <c r="G132" s="11">
        <v>2.4039238691329956E-2</v>
      </c>
      <c r="H132" s="40">
        <v>5.5071265027688352E-4</v>
      </c>
      <c r="I132" s="40">
        <v>1.3355276298475238</v>
      </c>
      <c r="J132" s="59">
        <v>0</v>
      </c>
      <c r="K132" s="59">
        <v>5401.5195928514004</v>
      </c>
      <c r="L132" s="59">
        <v>0</v>
      </c>
      <c r="M132" s="11">
        <v>0.80277025699615479</v>
      </c>
      <c r="N132" s="11">
        <v>0.74404346942901611</v>
      </c>
      <c r="O132" s="11">
        <v>0.27112108469009399</v>
      </c>
      <c r="Q132" s="59">
        <v>13.663935485866553</v>
      </c>
      <c r="R132" s="78">
        <v>487.72083630811005</v>
      </c>
      <c r="S132" s="78">
        <v>13.693460825869851</v>
      </c>
      <c r="T132" s="78">
        <v>596.02859125468251</v>
      </c>
      <c r="U132" s="78">
        <v>2.9525340003297984E-2</v>
      </c>
      <c r="V132" s="78">
        <v>108.30775494657246</v>
      </c>
      <c r="Y132" s="28"/>
      <c r="Z132" s="28"/>
      <c r="AK132" s="28"/>
      <c r="AS132" s="28"/>
      <c r="AT132" s="28"/>
    </row>
    <row r="133" spans="3:46" x14ac:dyDescent="0.15">
      <c r="C133" s="11">
        <v>8.8810473680496216E-3</v>
      </c>
      <c r="D133" s="11">
        <v>1.8909022212028503E-2</v>
      </c>
      <c r="E133" s="11">
        <v>0.43780148497934651</v>
      </c>
      <c r="F133" s="11">
        <v>0</v>
      </c>
      <c r="G133" s="11">
        <v>3.4131288528442383E-2</v>
      </c>
      <c r="H133" s="40">
        <v>4.3585751167131203E-4</v>
      </c>
      <c r="I133" s="40">
        <v>1.3506806011794157</v>
      </c>
      <c r="J133" s="59">
        <v>0</v>
      </c>
      <c r="K133" s="59">
        <v>5246.2262101471424</v>
      </c>
      <c r="L133" s="59">
        <v>0</v>
      </c>
      <c r="M133" s="11">
        <v>0.80503368377685547</v>
      </c>
      <c r="N133" s="11">
        <v>0.79561197757720947</v>
      </c>
      <c r="O133" s="11">
        <v>0.26659303903579712</v>
      </c>
      <c r="Q133" s="59">
        <v>14.070941523463484</v>
      </c>
      <c r="R133" s="78">
        <v>475.9042444142105</v>
      </c>
      <c r="S133" s="78">
        <v>14.083528441348852</v>
      </c>
      <c r="T133" s="78">
        <v>615.11755922134614</v>
      </c>
      <c r="U133" s="78">
        <v>1.2586917885368365E-2</v>
      </c>
      <c r="V133" s="78">
        <v>139.21331480713565</v>
      </c>
      <c r="Y133" s="28"/>
      <c r="Z133" s="28"/>
      <c r="AK133" s="28"/>
      <c r="AS133" s="28"/>
      <c r="AT133" s="28"/>
    </row>
    <row r="134" spans="3:46" x14ac:dyDescent="0.15">
      <c r="C134" s="11">
        <v>2.9775112867355347E-2</v>
      </c>
      <c r="D134" s="11">
        <v>3.6447525024414062E-2</v>
      </c>
      <c r="E134" s="11">
        <v>0.31212231472481827</v>
      </c>
      <c r="F134" s="11">
        <v>0</v>
      </c>
      <c r="G134" s="11">
        <v>3.7780523300170898E-2</v>
      </c>
      <c r="H134" s="40">
        <v>5.2778662890918366E-4</v>
      </c>
      <c r="I134" s="40">
        <v>1.3602141036216155</v>
      </c>
      <c r="J134" s="59">
        <v>0</v>
      </c>
      <c r="K134" s="59">
        <v>4705.5061440914869</v>
      </c>
      <c r="L134" s="59">
        <v>0</v>
      </c>
      <c r="M134" s="11">
        <v>0.8661191463470459</v>
      </c>
      <c r="N134" s="11">
        <v>0.69476962089538574</v>
      </c>
      <c r="O134" s="11">
        <v>0.33229523897171021</v>
      </c>
      <c r="Q134" s="59">
        <v>14.769346146412788</v>
      </c>
      <c r="R134" s="78">
        <v>484.58635950673772</v>
      </c>
      <c r="S134" s="78">
        <v>14.819891241982056</v>
      </c>
      <c r="T134" s="78">
        <v>607.58712129866751</v>
      </c>
      <c r="U134" s="78">
        <v>5.0545095569267673E-2</v>
      </c>
      <c r="V134" s="78">
        <v>123.00076179192979</v>
      </c>
      <c r="Y134" s="28"/>
      <c r="Z134" s="28"/>
      <c r="AK134" s="28"/>
      <c r="AS134" s="28"/>
      <c r="AT134" s="28"/>
    </row>
    <row r="135" spans="3:46" x14ac:dyDescent="0.15">
      <c r="C135" s="11">
        <v>3.155827522277832E-3</v>
      </c>
      <c r="D135" s="11">
        <v>2.723991870880127E-2</v>
      </c>
      <c r="E135" s="11">
        <v>0.165667264729673</v>
      </c>
      <c r="F135" s="11">
        <v>0</v>
      </c>
      <c r="G135" s="11">
        <v>2.058073878288269E-2</v>
      </c>
      <c r="H135" s="40">
        <v>5.6020624379985178E-4</v>
      </c>
      <c r="I135" s="40">
        <v>1.3535923788850843</v>
      </c>
      <c r="J135" s="59">
        <v>0</v>
      </c>
      <c r="K135" s="59">
        <v>4172.4368929862976</v>
      </c>
      <c r="L135" s="59">
        <v>0</v>
      </c>
      <c r="M135" s="11">
        <v>0.92459678649902344</v>
      </c>
      <c r="N135" s="11">
        <v>0.67028188705444336</v>
      </c>
      <c r="O135" s="11">
        <v>0.24612927436828613</v>
      </c>
      <c r="Q135" s="59">
        <v>16.17733912173653</v>
      </c>
      <c r="R135" s="78">
        <v>472.25938678068252</v>
      </c>
      <c r="S135" s="78">
        <v>16.262850043310529</v>
      </c>
      <c r="T135" s="78">
        <v>592.14927478412369</v>
      </c>
      <c r="U135" s="78">
        <v>8.5510921573998644E-2</v>
      </c>
      <c r="V135" s="78">
        <v>119.88988800344117</v>
      </c>
      <c r="Y135" s="28"/>
      <c r="Z135" s="28"/>
      <c r="AK135" s="28"/>
      <c r="AS135" s="28"/>
      <c r="AT135" s="28"/>
    </row>
    <row r="136" spans="3:46" x14ac:dyDescent="0.15">
      <c r="C136" s="11">
        <v>1.8796101212501526E-2</v>
      </c>
      <c r="D136" s="11">
        <v>1.8601223826408386E-2</v>
      </c>
      <c r="E136" s="11">
        <v>0.49672329837585955</v>
      </c>
      <c r="F136" s="11">
        <v>0</v>
      </c>
      <c r="G136" s="11">
        <v>1.0910391807556152E-2</v>
      </c>
      <c r="H136" s="40">
        <v>4.7871923379275285E-4</v>
      </c>
      <c r="I136" s="40">
        <v>1.4636693951176412</v>
      </c>
      <c r="J136" s="59">
        <v>0</v>
      </c>
      <c r="K136" s="59">
        <v>5151.6294479370117</v>
      </c>
      <c r="L136" s="59">
        <v>0</v>
      </c>
      <c r="M136" s="11">
        <v>0.7832026481628418</v>
      </c>
      <c r="N136" s="11">
        <v>0.72538882493972778</v>
      </c>
      <c r="O136" s="11">
        <v>0.27486181259155273</v>
      </c>
      <c r="Q136" s="59">
        <v>13.529957660775468</v>
      </c>
      <c r="R136" s="78">
        <v>499.63584170048978</v>
      </c>
      <c r="S136" s="78">
        <v>13.551911828952278</v>
      </c>
      <c r="T136" s="78">
        <v>632.03941981810135</v>
      </c>
      <c r="U136" s="78">
        <v>2.1954168176810285E-2</v>
      </c>
      <c r="V136" s="78">
        <v>132.40357811761157</v>
      </c>
      <c r="Y136" s="28"/>
      <c r="Z136" s="28"/>
      <c r="AK136" s="28"/>
      <c r="AS136" s="28"/>
      <c r="AT136" s="28"/>
    </row>
    <row r="137" spans="3:46" x14ac:dyDescent="0.15">
      <c r="C137" s="11">
        <v>3.1686663627624512E-2</v>
      </c>
      <c r="D137" s="11">
        <v>9.9933147430419922E-4</v>
      </c>
      <c r="E137" s="11">
        <v>0.33598928435984082</v>
      </c>
      <c r="F137" s="11">
        <v>0</v>
      </c>
      <c r="G137" s="11">
        <v>5.4706335067749023E-2</v>
      </c>
      <c r="H137" s="40">
        <v>4.1057427339930068E-4</v>
      </c>
      <c r="I137" s="40">
        <v>1.4532538372336929</v>
      </c>
      <c r="J137" s="59">
        <v>0</v>
      </c>
      <c r="K137" s="59">
        <v>3351.4504320919514</v>
      </c>
      <c r="L137" s="59">
        <v>0</v>
      </c>
      <c r="M137" s="11">
        <v>0.85600531101226807</v>
      </c>
      <c r="N137" s="11">
        <v>0.5743408203125</v>
      </c>
      <c r="O137" s="11">
        <v>0.25634932518005371</v>
      </c>
      <c r="Q137" s="59">
        <v>14.540600563705201</v>
      </c>
      <c r="R137" s="78">
        <v>466.15390754839069</v>
      </c>
      <c r="S137" s="78">
        <v>14.606842453707765</v>
      </c>
      <c r="T137" s="78">
        <v>603.51690755606194</v>
      </c>
      <c r="U137" s="78">
        <v>6.6241890002563864E-2</v>
      </c>
      <c r="V137" s="78">
        <v>137.36300000767125</v>
      </c>
      <c r="Y137" s="28"/>
      <c r="Z137" s="28"/>
      <c r="AK137" s="28"/>
      <c r="AS137" s="28"/>
      <c r="AT137" s="28"/>
    </row>
    <row r="138" spans="3:46" x14ac:dyDescent="0.15">
      <c r="C138" s="11">
        <v>6.974029541015625E-2</v>
      </c>
      <c r="D138" s="11">
        <v>3.6587536334991455E-2</v>
      </c>
      <c r="E138" s="11">
        <v>0.21555348054018428</v>
      </c>
      <c r="F138" s="11">
        <v>0</v>
      </c>
      <c r="G138" s="11">
        <v>2.2809505462646484E-2</v>
      </c>
      <c r="H138" s="40">
        <v>3.3685651176023555E-4</v>
      </c>
      <c r="I138" s="40">
        <v>1.5042671319680183</v>
      </c>
      <c r="J138" s="59">
        <v>0</v>
      </c>
      <c r="K138" s="59">
        <v>6086.6586863994598</v>
      </c>
      <c r="L138" s="59">
        <v>0</v>
      </c>
      <c r="M138" s="11">
        <v>0.86653447151184082</v>
      </c>
      <c r="N138" s="11">
        <v>0.7829023003578186</v>
      </c>
      <c r="O138" s="11">
        <v>0.31881386041641235</v>
      </c>
      <c r="Q138" s="59">
        <v>14.19123392451951</v>
      </c>
      <c r="R138" s="78">
        <v>494.97925909955131</v>
      </c>
      <c r="S138" s="78">
        <v>14.228266936020269</v>
      </c>
      <c r="T138" s="78">
        <v>601.06175242540212</v>
      </c>
      <c r="U138" s="78">
        <v>3.7033011500758661E-2</v>
      </c>
      <c r="V138" s="78">
        <v>106.08249332585081</v>
      </c>
      <c r="Y138" s="28"/>
      <c r="Z138" s="28"/>
      <c r="AK138" s="28"/>
      <c r="AS138" s="28"/>
      <c r="AT138" s="28"/>
    </row>
    <row r="139" spans="3:46" x14ac:dyDescent="0.15">
      <c r="C139" s="11">
        <v>6.3971430063247681E-3</v>
      </c>
      <c r="D139" s="11">
        <v>4.6899467706680298E-3</v>
      </c>
      <c r="E139" s="11">
        <v>0.230112542012784</v>
      </c>
      <c r="F139" s="11">
        <v>0</v>
      </c>
      <c r="G139" s="11">
        <v>8.8550567626953125E-2</v>
      </c>
      <c r="H139" s="40">
        <v>3.7598208190930667E-4</v>
      </c>
      <c r="I139" s="40">
        <v>1.5316584897365151</v>
      </c>
      <c r="J139" s="59">
        <v>0</v>
      </c>
      <c r="K139" s="59">
        <v>4556.4328320324421</v>
      </c>
      <c r="L139" s="59">
        <v>0</v>
      </c>
      <c r="M139" s="11">
        <v>0.86125564575195312</v>
      </c>
      <c r="N139" s="11">
        <v>0.7643965482711792</v>
      </c>
      <c r="O139" s="11">
        <v>0.2911188006401062</v>
      </c>
      <c r="Q139" s="59">
        <v>15.049499746721274</v>
      </c>
      <c r="R139" s="78">
        <v>526.9368235117521</v>
      </c>
      <c r="S139" s="78">
        <v>15.100055710150068</v>
      </c>
      <c r="T139" s="78">
        <v>610.06249609401652</v>
      </c>
      <c r="U139" s="78">
        <v>5.055596342879376E-2</v>
      </c>
      <c r="V139" s="78">
        <v>83.125672582264428</v>
      </c>
      <c r="Y139" s="28"/>
      <c r="Z139" s="28"/>
      <c r="AK139" s="28"/>
      <c r="AS139" s="28"/>
      <c r="AT139" s="28"/>
    </row>
    <row r="140" spans="3:46" x14ac:dyDescent="0.15">
      <c r="C140" s="11">
        <v>3.7041306495666504E-2</v>
      </c>
      <c r="D140" s="11">
        <v>1.508621871471405E-2</v>
      </c>
      <c r="E140" s="11">
        <v>0.18357324477659182</v>
      </c>
      <c r="F140" s="11">
        <v>0</v>
      </c>
      <c r="G140" s="11">
        <v>6.5795361995697021E-2</v>
      </c>
      <c r="H140" s="40">
        <v>4.830163795949887E-4</v>
      </c>
      <c r="I140" s="40">
        <v>1.3584882197185462</v>
      </c>
      <c r="J140" s="59">
        <v>0</v>
      </c>
      <c r="K140" s="59">
        <v>5524.1514928638935</v>
      </c>
      <c r="L140" s="59">
        <v>0</v>
      </c>
      <c r="M140" s="11">
        <v>0.80005419254302979</v>
      </c>
      <c r="N140" s="11">
        <v>0.70814239978790283</v>
      </c>
      <c r="O140" s="11">
        <v>0.33115863800048828</v>
      </c>
      <c r="Q140" s="59">
        <v>13.56440963950633</v>
      </c>
      <c r="R140" s="78">
        <v>504.64581580051828</v>
      </c>
      <c r="S140" s="78">
        <v>13.600180339972722</v>
      </c>
      <c r="T140" s="78">
        <v>599.54911848449524</v>
      </c>
      <c r="U140" s="78">
        <v>3.5770700466391858E-2</v>
      </c>
      <c r="V140" s="78">
        <v>94.90330268397696</v>
      </c>
      <c r="Y140" s="28"/>
      <c r="Z140" s="28"/>
      <c r="AK140" s="28"/>
      <c r="AS140" s="28"/>
      <c r="AT140" s="28"/>
    </row>
    <row r="141" spans="3:46" x14ac:dyDescent="0.15">
      <c r="C141" s="11">
        <v>4.3965339660644531E-2</v>
      </c>
      <c r="D141" s="11">
        <v>3.4725189208984375E-2</v>
      </c>
      <c r="E141" s="11">
        <v>0.25170215979736782</v>
      </c>
      <c r="F141" s="11">
        <v>0</v>
      </c>
      <c r="G141" s="11">
        <v>3.6456406116485596E-2</v>
      </c>
      <c r="H141" s="40">
        <v>5.4983366701948381E-4</v>
      </c>
      <c r="I141" s="40">
        <v>1.3749678826785487</v>
      </c>
      <c r="J141" s="59">
        <v>0</v>
      </c>
      <c r="K141" s="59">
        <v>8659.5118045806885</v>
      </c>
      <c r="L141" s="59">
        <v>0</v>
      </c>
      <c r="M141" s="11">
        <v>0.80016660690307617</v>
      </c>
      <c r="N141" s="11">
        <v>0.75413364171981812</v>
      </c>
      <c r="O141" s="11">
        <v>0.2572399377822876</v>
      </c>
      <c r="Q141" s="59">
        <v>13.468026148955293</v>
      </c>
      <c r="R141" s="78">
        <v>571.27954305106346</v>
      </c>
      <c r="S141" s="78">
        <v>13.501062202838495</v>
      </c>
      <c r="T141" s="78">
        <v>624.21222285419958</v>
      </c>
      <c r="U141" s="78">
        <v>3.3036053883202854E-2</v>
      </c>
      <c r="V141" s="78">
        <v>52.932679803136125</v>
      </c>
      <c r="Y141" s="28"/>
      <c r="Z141" s="28"/>
      <c r="AK141" s="28"/>
      <c r="AS141" s="28"/>
      <c r="AT141" s="28"/>
    </row>
    <row r="142" spans="3:46" x14ac:dyDescent="0.15">
      <c r="C142" s="11">
        <v>1.4379352331161499E-2</v>
      </c>
      <c r="D142" s="11">
        <v>3.711390495300293E-2</v>
      </c>
      <c r="E142" s="11">
        <v>0.37603523424975199</v>
      </c>
      <c r="F142" s="11">
        <v>0</v>
      </c>
      <c r="G142" s="11">
        <v>1.6425043344497681E-2</v>
      </c>
      <c r="H142" s="40">
        <v>4.5715379648184399E-4</v>
      </c>
      <c r="I142" s="40">
        <v>1.4767896977420973</v>
      </c>
      <c r="J142" s="59">
        <v>0</v>
      </c>
      <c r="K142" s="59">
        <v>3651.157021522522</v>
      </c>
      <c r="L142" s="59">
        <v>0</v>
      </c>
      <c r="M142" s="11">
        <v>0.83317798376083374</v>
      </c>
      <c r="N142" s="11">
        <v>0.76664716005325317</v>
      </c>
      <c r="O142" s="11">
        <v>0.31870675086975098</v>
      </c>
      <c r="Q142" s="59">
        <v>14.451278143766638</v>
      </c>
      <c r="R142" s="78">
        <v>471.09126263404823</v>
      </c>
      <c r="S142" s="78">
        <v>14.484663097538842</v>
      </c>
      <c r="T142" s="78">
        <v>608.37606601977541</v>
      </c>
      <c r="U142" s="78">
        <v>3.3384953772204184E-2</v>
      </c>
      <c r="V142" s="78">
        <v>137.28480338572717</v>
      </c>
      <c r="Y142" s="28"/>
      <c r="Z142" s="28"/>
      <c r="AK142" s="28"/>
      <c r="AS142" s="28"/>
      <c r="AT142" s="28"/>
    </row>
    <row r="143" spans="3:46" x14ac:dyDescent="0.15">
      <c r="C143" s="11">
        <v>1.7549604177474976E-2</v>
      </c>
      <c r="D143" s="11">
        <v>3.1114399433135986E-2</v>
      </c>
      <c r="E143" s="11">
        <v>0.12223555106496629</v>
      </c>
      <c r="F143" s="11">
        <v>0</v>
      </c>
      <c r="G143" s="11">
        <v>9.4003677368164062E-3</v>
      </c>
      <c r="H143" s="40">
        <v>4.9010645014055561E-4</v>
      </c>
      <c r="I143" s="40">
        <v>1.3986953393702617</v>
      </c>
      <c r="J143" s="59">
        <v>0</v>
      </c>
      <c r="K143" s="59">
        <v>6088.1744138896465</v>
      </c>
      <c r="L143" s="59">
        <v>0</v>
      </c>
      <c r="M143" s="11">
        <v>0.83700752258300781</v>
      </c>
      <c r="N143" s="11">
        <v>0.72380161285400391</v>
      </c>
      <c r="O143" s="11">
        <v>0.33403462171554565</v>
      </c>
      <c r="Q143" s="59">
        <v>14.469623438074207</v>
      </c>
      <c r="R143" s="78">
        <v>498.89825183142273</v>
      </c>
      <c r="S143" s="78">
        <v>14.518187990442197</v>
      </c>
      <c r="T143" s="78">
        <v>592.02157490645413</v>
      </c>
      <c r="U143" s="78">
        <v>4.8564552367990288E-2</v>
      </c>
      <c r="V143" s="78">
        <v>93.123323075031408</v>
      </c>
      <c r="Y143" s="28"/>
      <c r="Z143" s="28"/>
      <c r="AK143" s="28"/>
      <c r="AS143" s="28"/>
      <c r="AT143" s="28"/>
    </row>
    <row r="144" spans="3:46" x14ac:dyDescent="0.15">
      <c r="C144" s="11">
        <v>1.2234956026077271E-2</v>
      </c>
      <c r="D144" s="11">
        <v>1.317247748374939E-2</v>
      </c>
      <c r="E144" s="11">
        <v>0.30834961616868695</v>
      </c>
      <c r="F144" s="11">
        <v>0</v>
      </c>
      <c r="G144" s="11">
        <v>3.0045747756958008E-2</v>
      </c>
      <c r="H144" s="40">
        <v>3.8789948135717133E-4</v>
      </c>
      <c r="I144" s="40">
        <v>1.5439781825789138</v>
      </c>
      <c r="J144" s="59">
        <v>0</v>
      </c>
      <c r="K144" s="59">
        <v>5825.2108283340931</v>
      </c>
      <c r="L144" s="59">
        <v>0</v>
      </c>
      <c r="M144" s="11">
        <v>0.81628549098968506</v>
      </c>
      <c r="N144" s="11">
        <v>0.73750901222229004</v>
      </c>
      <c r="O144" s="11">
        <v>0.25491344928741455</v>
      </c>
      <c r="Q144" s="59">
        <v>14.184715581469463</v>
      </c>
      <c r="R144" s="78">
        <v>532.1015482172877</v>
      </c>
      <c r="S144" s="78">
        <v>14.224085255813616</v>
      </c>
      <c r="T144" s="78">
        <v>622.25000648915909</v>
      </c>
      <c r="U144" s="78">
        <v>3.9369674344152727E-2</v>
      </c>
      <c r="V144" s="78">
        <v>90.148458271871391</v>
      </c>
      <c r="Y144" s="28"/>
      <c r="Z144" s="28"/>
      <c r="AK144" s="28"/>
      <c r="AS144" s="28"/>
      <c r="AT144" s="28"/>
    </row>
    <row r="145" spans="3:46" x14ac:dyDescent="0.15">
      <c r="C145" s="11">
        <v>1.4610365033149719E-2</v>
      </c>
      <c r="D145" s="11">
        <v>1.9524097442626953E-3</v>
      </c>
      <c r="E145" s="11">
        <v>0.28026889112615339</v>
      </c>
      <c r="F145" s="11">
        <v>0</v>
      </c>
      <c r="G145" s="11">
        <v>4.4231265783309937E-2</v>
      </c>
      <c r="H145" s="40">
        <v>4.5963187662155324E-4</v>
      </c>
      <c r="I145" s="40">
        <v>1.6249150667188457</v>
      </c>
      <c r="J145" s="59">
        <v>0</v>
      </c>
      <c r="K145" s="59">
        <v>5766.1626487970352</v>
      </c>
      <c r="L145" s="59">
        <v>0</v>
      </c>
      <c r="M145" s="11">
        <v>0.90346574783325195</v>
      </c>
      <c r="N145" s="11">
        <v>0.76650464534759521</v>
      </c>
      <c r="O145" s="11">
        <v>0.26794874668121338</v>
      </c>
      <c r="Q145" s="59">
        <v>15.607020618351289</v>
      </c>
      <c r="R145" s="78">
        <v>612.62113175379727</v>
      </c>
      <c r="S145" s="78">
        <v>15.691144536430036</v>
      </c>
      <c r="T145" s="78">
        <v>641.81750847324145</v>
      </c>
      <c r="U145" s="78">
        <v>8.4123918078747195E-2</v>
      </c>
      <c r="V145" s="78">
        <v>29.196376719444174</v>
      </c>
      <c r="Y145" s="28"/>
      <c r="Z145" s="28"/>
      <c r="AK145" s="28"/>
      <c r="AS145" s="28"/>
      <c r="AT145" s="28"/>
    </row>
    <row r="146" spans="3:46" x14ac:dyDescent="0.15">
      <c r="C146" s="11">
        <v>3.2056272029876709E-3</v>
      </c>
      <c r="D146" s="11">
        <v>1.4898806810379028E-2</v>
      </c>
      <c r="E146" s="11">
        <v>0.60997437447320579</v>
      </c>
      <c r="F146" s="11">
        <v>0</v>
      </c>
      <c r="G146" s="11">
        <v>3.886762261390686E-2</v>
      </c>
      <c r="H146" s="40">
        <v>5.9990293498803028E-4</v>
      </c>
      <c r="I146" s="40">
        <v>1.3906567140864572</v>
      </c>
      <c r="J146" s="59">
        <v>0</v>
      </c>
      <c r="K146" s="59">
        <v>4519.9808664619923</v>
      </c>
      <c r="L146" s="59">
        <v>0</v>
      </c>
      <c r="M146" s="11">
        <v>0.8711477518081665</v>
      </c>
      <c r="N146" s="11">
        <v>0.75983232259750366</v>
      </c>
      <c r="O146" s="11">
        <v>0.26323890686035156</v>
      </c>
      <c r="Q146" s="59">
        <v>15.266656845831477</v>
      </c>
      <c r="R146" s="78">
        <v>505.88130419063248</v>
      </c>
      <c r="S146" s="78">
        <v>15.294185228273882</v>
      </c>
      <c r="T146" s="78">
        <v>647.78157094170103</v>
      </c>
      <c r="U146" s="78">
        <v>2.7528382442405075E-2</v>
      </c>
      <c r="V146" s="78">
        <v>141.90026675106856</v>
      </c>
      <c r="Y146" s="28"/>
      <c r="Z146" s="28"/>
      <c r="AK146" s="28"/>
      <c r="AS146" s="28"/>
      <c r="AT146" s="28"/>
    </row>
    <row r="147" spans="3:46" x14ac:dyDescent="0.15">
      <c r="C147" s="11">
        <v>2.531963586807251E-2</v>
      </c>
      <c r="D147" s="11">
        <v>2.1014899015426636E-2</v>
      </c>
      <c r="E147" s="11">
        <v>0.27693772250462501</v>
      </c>
      <c r="F147" s="11">
        <v>0</v>
      </c>
      <c r="G147" s="11">
        <v>2.6407063007354736E-2</v>
      </c>
      <c r="H147" s="40">
        <v>4.3276596179394158E-4</v>
      </c>
      <c r="I147" s="40">
        <v>1.4716174634438011</v>
      </c>
      <c r="J147" s="59">
        <v>0</v>
      </c>
      <c r="K147" s="59">
        <v>4241.5480129420757</v>
      </c>
      <c r="L147" s="59">
        <v>0</v>
      </c>
      <c r="M147" s="11">
        <v>0.86042022705078125</v>
      </c>
      <c r="N147" s="11">
        <v>0.76822638511657715</v>
      </c>
      <c r="O147" s="11">
        <v>0.31883186101913452</v>
      </c>
      <c r="Q147" s="59">
        <v>14.75733961340968</v>
      </c>
      <c r="R147" s="78">
        <v>481.79216044123035</v>
      </c>
      <c r="S147" s="78">
        <v>14.797539276817337</v>
      </c>
      <c r="T147" s="78">
        <v>603.65915397317394</v>
      </c>
      <c r="U147" s="78">
        <v>4.0199663407657127E-2</v>
      </c>
      <c r="V147" s="78">
        <v>121.86699353194359</v>
      </c>
      <c r="Y147" s="28"/>
      <c r="Z147" s="28"/>
      <c r="AK147" s="28"/>
      <c r="AS147" s="28"/>
      <c r="AT147" s="28"/>
    </row>
    <row r="148" spans="3:46" x14ac:dyDescent="0.15">
      <c r="C148" s="11">
        <v>5.5070817470550537E-3</v>
      </c>
      <c r="D148" s="11">
        <v>5.2548646926879883E-3</v>
      </c>
      <c r="E148" s="11">
        <v>1.0325767752726345</v>
      </c>
      <c r="F148" s="11">
        <v>0</v>
      </c>
      <c r="G148" s="11">
        <v>3.2127678394317627E-2</v>
      </c>
      <c r="H148" s="40">
        <v>4.1439200649000479E-4</v>
      </c>
      <c r="I148" s="40">
        <v>1.4398938403924493</v>
      </c>
      <c r="J148" s="59">
        <v>0</v>
      </c>
      <c r="K148" s="59">
        <v>6733.3830520510674</v>
      </c>
      <c r="L148" s="59">
        <v>0</v>
      </c>
      <c r="M148" s="11">
        <v>0.88655030727386475</v>
      </c>
      <c r="N148" s="11">
        <v>0.67266654968261719</v>
      </c>
      <c r="O148" s="11">
        <v>0.31697601079940796</v>
      </c>
      <c r="Q148" s="59">
        <v>15.493458247140808</v>
      </c>
      <c r="R148" s="78">
        <v>522.78855680001834</v>
      </c>
      <c r="S148" s="78">
        <v>15.490903437256263</v>
      </c>
      <c r="T148" s="78">
        <v>711.91228718741513</v>
      </c>
      <c r="U148" s="78">
        <v>-2.5548098845451506E-3</v>
      </c>
      <c r="V148" s="78">
        <v>189.12373038739679</v>
      </c>
      <c r="Y148" s="28"/>
      <c r="Z148" s="28"/>
      <c r="AK148" s="28"/>
      <c r="AS148" s="28"/>
      <c r="AT148" s="28"/>
    </row>
    <row r="149" spans="3:46" x14ac:dyDescent="0.15">
      <c r="C149" s="11">
        <v>2.5793462991714478E-2</v>
      </c>
      <c r="D149" s="11">
        <v>2.1398872137069702E-2</v>
      </c>
      <c r="E149" s="11">
        <v>0.19836690647065736</v>
      </c>
      <c r="F149" s="11">
        <v>0</v>
      </c>
      <c r="G149" s="11">
        <v>1.1406838893890381E-2</v>
      </c>
      <c r="H149" s="40">
        <v>4.5173910758854711E-4</v>
      </c>
      <c r="I149" s="40">
        <v>1.4234729876121073</v>
      </c>
      <c r="J149" s="59">
        <v>0</v>
      </c>
      <c r="K149" s="59">
        <v>5654.8835709691048</v>
      </c>
      <c r="L149" s="59">
        <v>0</v>
      </c>
      <c r="M149" s="11">
        <v>0.79654335975646973</v>
      </c>
      <c r="N149" s="11">
        <v>0.76992833614349365</v>
      </c>
      <c r="O149" s="11">
        <v>0.29148960113525391</v>
      </c>
      <c r="Q149" s="59">
        <v>13.677917545618531</v>
      </c>
      <c r="R149" s="78">
        <v>491.11658074166661</v>
      </c>
      <c r="S149" s="78">
        <v>13.701049241004721</v>
      </c>
      <c r="T149" s="78">
        <v>598.53842377256944</v>
      </c>
      <c r="U149" s="78">
        <v>2.3131695386190643E-2</v>
      </c>
      <c r="V149" s="78">
        <v>107.42184303090283</v>
      </c>
      <c r="Y149" s="28"/>
      <c r="Z149" s="28"/>
      <c r="AK149" s="28"/>
      <c r="AS149" s="28"/>
      <c r="AT149" s="28"/>
    </row>
    <row r="150" spans="3:46" x14ac:dyDescent="0.15">
      <c r="C150" s="11">
        <v>2.904742956161499E-2</v>
      </c>
      <c r="D150" s="11">
        <v>2.6752054691314697E-2</v>
      </c>
      <c r="E150" s="11">
        <v>0.50415888623820448</v>
      </c>
      <c r="F150" s="11">
        <v>0</v>
      </c>
      <c r="G150" s="11">
        <v>4.3619841337203979E-2</v>
      </c>
      <c r="H150" s="40">
        <v>4.1048257839658203E-4</v>
      </c>
      <c r="I150" s="40">
        <v>1.3471895022830376</v>
      </c>
      <c r="J150" s="59">
        <v>0</v>
      </c>
      <c r="K150" s="59">
        <v>4141.5845043957233</v>
      </c>
      <c r="L150" s="59">
        <v>0</v>
      </c>
      <c r="M150" s="11">
        <v>0.8877636194229126</v>
      </c>
      <c r="N150" s="11">
        <v>0.74526238441467285</v>
      </c>
      <c r="O150" s="11">
        <v>0.27008765935897827</v>
      </c>
      <c r="Q150" s="59">
        <v>15.174118468887738</v>
      </c>
      <c r="R150" s="78">
        <v>455.94121571769358</v>
      </c>
      <c r="S150" s="78">
        <v>15.199464123560265</v>
      </c>
      <c r="T150" s="78">
        <v>610.41219062052551</v>
      </c>
      <c r="U150" s="78">
        <v>2.5345654672527473E-2</v>
      </c>
      <c r="V150" s="78">
        <v>154.47097490283193</v>
      </c>
      <c r="Y150" s="28"/>
      <c r="Z150" s="28"/>
      <c r="AK150" s="28"/>
      <c r="AS150" s="28"/>
      <c r="AT150" s="28"/>
    </row>
    <row r="151" spans="3:46" x14ac:dyDescent="0.15">
      <c r="C151" s="11">
        <v>8.4328651428222656E-3</v>
      </c>
      <c r="D151" s="11">
        <v>1.7484173178672791E-2</v>
      </c>
      <c r="E151" s="11">
        <v>0.33029596654648602</v>
      </c>
      <c r="F151" s="11">
        <v>0</v>
      </c>
      <c r="G151" s="11">
        <v>2.8667077422142029E-2</v>
      </c>
      <c r="H151" s="40">
        <v>5.0764725805079207E-4</v>
      </c>
      <c r="I151" s="40">
        <v>1.4578787293689057</v>
      </c>
      <c r="J151" s="59">
        <v>0</v>
      </c>
      <c r="K151" s="59">
        <v>5372.373852878809</v>
      </c>
      <c r="L151" s="59">
        <v>0</v>
      </c>
      <c r="M151" s="11">
        <v>0.84292089939117432</v>
      </c>
      <c r="N151" s="11">
        <v>0.76993215084075928</v>
      </c>
      <c r="O151" s="11">
        <v>0.26021510362625122</v>
      </c>
      <c r="Q151" s="59">
        <v>14.705039139937542</v>
      </c>
      <c r="R151" s="78">
        <v>522.84200849929744</v>
      </c>
      <c r="S151" s="78">
        <v>14.743817357243138</v>
      </c>
      <c r="T151" s="78">
        <v>622.18075837644653</v>
      </c>
      <c r="U151" s="78">
        <v>3.8778217305596385E-2</v>
      </c>
      <c r="V151" s="78">
        <v>99.338749877149098</v>
      </c>
      <c r="Y151" s="28"/>
      <c r="Z151" s="28"/>
      <c r="AK151" s="28"/>
      <c r="AS151" s="28"/>
      <c r="AT151" s="28"/>
    </row>
    <row r="152" spans="3:46" x14ac:dyDescent="0.15">
      <c r="C152" s="11">
        <v>4.5156955718994141E-2</v>
      </c>
      <c r="D152" s="11">
        <v>6.3774138689041138E-3</v>
      </c>
      <c r="E152" s="11">
        <v>0.14713460654112587</v>
      </c>
      <c r="F152" s="11">
        <v>0</v>
      </c>
      <c r="G152" s="11">
        <v>3.6967575550079346E-2</v>
      </c>
      <c r="H152" s="40">
        <v>4.8391222932687539E-4</v>
      </c>
      <c r="I152" s="40">
        <v>1.4045434373955092</v>
      </c>
      <c r="J152" s="59">
        <v>0</v>
      </c>
      <c r="K152" s="59">
        <v>3184.7180798649788</v>
      </c>
      <c r="L152" s="59">
        <v>0</v>
      </c>
      <c r="M152" s="11">
        <v>0.8356965184211731</v>
      </c>
      <c r="N152" s="11">
        <v>0.70984286069869995</v>
      </c>
      <c r="O152" s="11">
        <v>0.33464288711547852</v>
      </c>
      <c r="Q152" s="59">
        <v>14.03982360584677</v>
      </c>
      <c r="R152" s="78">
        <v>457.14579145385096</v>
      </c>
      <c r="S152" s="78">
        <v>14.08658414785549</v>
      </c>
      <c r="T152" s="78">
        <v>588.42766529839173</v>
      </c>
      <c r="U152" s="78">
        <v>4.6760542008719597E-2</v>
      </c>
      <c r="V152" s="78">
        <v>131.28187384454077</v>
      </c>
      <c r="Y152" s="28"/>
      <c r="Z152" s="28"/>
      <c r="AK152" s="28"/>
      <c r="AS152" s="28"/>
      <c r="AT152" s="28"/>
    </row>
    <row r="153" spans="3:46" x14ac:dyDescent="0.15">
      <c r="C153" s="11">
        <v>8.3964765071868896E-3</v>
      </c>
      <c r="D153" s="11">
        <v>4.0890872478485107E-3</v>
      </c>
      <c r="E153" s="11">
        <v>0.46593666390112976</v>
      </c>
      <c r="F153" s="11">
        <v>0</v>
      </c>
      <c r="G153" s="11">
        <v>2.4386823177337646E-2</v>
      </c>
      <c r="H153" s="40">
        <v>3.5824282457365273E-4</v>
      </c>
      <c r="I153" s="40">
        <v>1.53244726175174</v>
      </c>
      <c r="J153" s="59">
        <v>0</v>
      </c>
      <c r="K153" s="59">
        <v>5777.9485359787941</v>
      </c>
      <c r="L153" s="59">
        <v>0</v>
      </c>
      <c r="M153" s="11">
        <v>0.83661091327667236</v>
      </c>
      <c r="N153" s="11">
        <v>0.79656970500946045</v>
      </c>
      <c r="O153" s="11">
        <v>0.27773267030715942</v>
      </c>
      <c r="Q153" s="59">
        <v>14.617218951810797</v>
      </c>
      <c r="R153" s="78">
        <v>513.44014016736105</v>
      </c>
      <c r="S153" s="78">
        <v>14.636350503212721</v>
      </c>
      <c r="T153" s="78">
        <v>635.25020350987222</v>
      </c>
      <c r="U153" s="78">
        <v>1.9131551401924796E-2</v>
      </c>
      <c r="V153" s="78">
        <v>121.81006334251117</v>
      </c>
      <c r="Y153" s="28"/>
      <c r="Z153" s="28"/>
      <c r="AK153" s="28"/>
      <c r="AS153" s="28"/>
      <c r="AT153" s="28"/>
    </row>
    <row r="154" spans="3:46" x14ac:dyDescent="0.15">
      <c r="C154" s="11">
        <v>1.3322144746780396E-2</v>
      </c>
      <c r="D154" s="11">
        <v>1.3832241296768188E-2</v>
      </c>
      <c r="E154" s="11">
        <v>0.29881557491281602</v>
      </c>
      <c r="F154" s="11">
        <v>0</v>
      </c>
      <c r="G154" s="11">
        <v>4.7863960266113281E-2</v>
      </c>
      <c r="H154" s="40">
        <v>5.466636562410865E-4</v>
      </c>
      <c r="I154" s="40">
        <v>1.3752705376617487</v>
      </c>
      <c r="J154" s="59">
        <v>0</v>
      </c>
      <c r="K154" s="59">
        <v>7539.3868610262871</v>
      </c>
      <c r="L154" s="59">
        <v>0</v>
      </c>
      <c r="M154" s="11">
        <v>0.83452862501144409</v>
      </c>
      <c r="N154" s="11">
        <v>0.77233511209487915</v>
      </c>
      <c r="O154" s="11">
        <v>0.2704511284828186</v>
      </c>
      <c r="Q154" s="59">
        <v>14.49737550091468</v>
      </c>
      <c r="R154" s="78">
        <v>562.90266499251845</v>
      </c>
      <c r="S154" s="78">
        <v>14.530131770010362</v>
      </c>
      <c r="T154" s="78">
        <v>630.08612241522792</v>
      </c>
      <c r="U154" s="78">
        <v>3.2756269095681745E-2</v>
      </c>
      <c r="V154" s="78">
        <v>67.183457422709466</v>
      </c>
      <c r="Y154" s="28"/>
      <c r="Z154" s="28"/>
      <c r="AK154" s="28"/>
      <c r="AS154" s="28"/>
      <c r="AT154" s="28"/>
    </row>
    <row r="155" spans="3:46" x14ac:dyDescent="0.15">
      <c r="C155" s="11">
        <v>1.0775044560432434E-2</v>
      </c>
      <c r="D155" s="11">
        <v>3.5889744758605957E-3</v>
      </c>
      <c r="E155" s="11">
        <v>0.18236381120274928</v>
      </c>
      <c r="F155" s="11">
        <v>0</v>
      </c>
      <c r="G155" s="11">
        <v>3.8919657468795776E-2</v>
      </c>
      <c r="H155" s="40">
        <v>5.9556299579753742E-4</v>
      </c>
      <c r="I155" s="40">
        <v>1.3408293538767824</v>
      </c>
      <c r="J155" s="59">
        <v>0</v>
      </c>
      <c r="K155" s="59">
        <v>6339.7688791155815</v>
      </c>
      <c r="L155" s="59">
        <v>0</v>
      </c>
      <c r="M155" s="11">
        <v>0.81040835380554199</v>
      </c>
      <c r="N155" s="11">
        <v>0.67558789253234863</v>
      </c>
      <c r="O155" s="11">
        <v>0.30034196376800537</v>
      </c>
      <c r="Q155" s="59">
        <v>14.100294542765511</v>
      </c>
      <c r="R155" s="78">
        <v>528.51893843146354</v>
      </c>
      <c r="S155" s="78">
        <v>14.149322180347644</v>
      </c>
      <c r="T155" s="78">
        <v>603.87170264168685</v>
      </c>
      <c r="U155" s="78">
        <v>4.9027637582133465E-2</v>
      </c>
      <c r="V155" s="78">
        <v>75.352764210223313</v>
      </c>
      <c r="Y155" s="28"/>
      <c r="Z155" s="28"/>
      <c r="AK155" s="28"/>
      <c r="AS155" s="28"/>
      <c r="AT155" s="28"/>
    </row>
    <row r="156" spans="3:46" x14ac:dyDescent="0.15">
      <c r="C156" s="11">
        <v>1.659102737903595E-2</v>
      </c>
      <c r="D156" s="11">
        <v>1.5384316444396973E-2</v>
      </c>
      <c r="E156" s="11">
        <v>0.41651507862103698</v>
      </c>
      <c r="F156" s="11">
        <v>0</v>
      </c>
      <c r="G156" s="11">
        <v>4.7580897808074951E-2</v>
      </c>
      <c r="H156" s="40">
        <v>4.2300516551677304E-4</v>
      </c>
      <c r="I156" s="40">
        <v>1.4322448936396426</v>
      </c>
      <c r="J156" s="59">
        <v>0</v>
      </c>
      <c r="K156" s="59">
        <v>4128.5902261734009</v>
      </c>
      <c r="L156" s="59">
        <v>0</v>
      </c>
      <c r="M156" s="11">
        <v>0.87681561708450317</v>
      </c>
      <c r="N156" s="11">
        <v>0.76230108737945557</v>
      </c>
      <c r="O156" s="11">
        <v>0.29368391633033752</v>
      </c>
      <c r="Q156" s="59">
        <v>15.172779184307315</v>
      </c>
      <c r="R156" s="78">
        <v>478.18112105400536</v>
      </c>
      <c r="S156" s="78">
        <v>15.206331600578679</v>
      </c>
      <c r="T156" s="78">
        <v>614.39804473523998</v>
      </c>
      <c r="U156" s="78">
        <v>3.3552416271364294E-2</v>
      </c>
      <c r="V156" s="78">
        <v>136.21692368123462</v>
      </c>
      <c r="Y156" s="28"/>
      <c r="Z156" s="28"/>
      <c r="AK156" s="28"/>
      <c r="AS156" s="28"/>
      <c r="AT156" s="28"/>
    </row>
    <row r="157" spans="3:46" x14ac:dyDescent="0.15">
      <c r="C157" s="11">
        <v>1.9531667232513428E-2</v>
      </c>
      <c r="D157" s="11">
        <v>9.5952004194259644E-3</v>
      </c>
      <c r="E157" s="11">
        <v>0.52496470487183222</v>
      </c>
      <c r="F157" s="11">
        <v>0</v>
      </c>
      <c r="G157" s="11">
        <v>4.3527305126190186E-2</v>
      </c>
      <c r="H157" s="40">
        <v>4.9068597803505294E-4</v>
      </c>
      <c r="I157" s="40">
        <v>1.3433641786279171</v>
      </c>
      <c r="J157" s="59">
        <v>0</v>
      </c>
      <c r="K157" s="59">
        <v>6447.0386132597923</v>
      </c>
      <c r="L157" s="59">
        <v>0</v>
      </c>
      <c r="M157" s="11">
        <v>0.86867552995681763</v>
      </c>
      <c r="N157" s="11">
        <v>0.75106930732727051</v>
      </c>
      <c r="O157" s="11">
        <v>0.32248365879058838</v>
      </c>
      <c r="Q157" s="59">
        <v>14.995360965152777</v>
      </c>
      <c r="R157" s="78">
        <v>509.39212615698398</v>
      </c>
      <c r="S157" s="78">
        <v>15.018376964011027</v>
      </c>
      <c r="T157" s="78">
        <v>639.97931455143248</v>
      </c>
      <c r="U157" s="78">
        <v>2.3015998858250342E-2</v>
      </c>
      <c r="V157" s="78">
        <v>130.5871883944485</v>
      </c>
      <c r="Y157" s="28"/>
      <c r="Z157" s="28"/>
      <c r="AK157" s="28"/>
      <c r="AS157" s="28"/>
      <c r="AT157" s="28"/>
    </row>
    <row r="158" spans="3:46" x14ac:dyDescent="0.15">
      <c r="C158" s="11">
        <v>2.6771485805511475E-2</v>
      </c>
      <c r="D158" s="11">
        <v>2.0523518323898315E-2</v>
      </c>
      <c r="E158" s="11">
        <v>0.18067237087740198</v>
      </c>
      <c r="F158" s="11">
        <v>0</v>
      </c>
      <c r="G158" s="11">
        <v>1.9387245178222656E-2</v>
      </c>
      <c r="H158" s="40">
        <v>6.0711659394102862E-4</v>
      </c>
      <c r="I158" s="40">
        <v>1.392216017932288</v>
      </c>
      <c r="J158" s="59">
        <v>0</v>
      </c>
      <c r="K158" s="59">
        <v>4491.081926971674</v>
      </c>
      <c r="L158" s="59">
        <v>0</v>
      </c>
      <c r="M158" s="11">
        <v>0.80382037162780762</v>
      </c>
      <c r="N158" s="11">
        <v>0.70918357372283936</v>
      </c>
      <c r="O158" s="11">
        <v>0.2879604697227478</v>
      </c>
      <c r="Q158" s="59">
        <v>13.758906375745168</v>
      </c>
      <c r="R158" s="78">
        <v>492.8486755823518</v>
      </c>
      <c r="S158" s="78">
        <v>13.807302623794895</v>
      </c>
      <c r="T158" s="78">
        <v>597.1684842220161</v>
      </c>
      <c r="U158" s="78">
        <v>4.8396248049726864E-2</v>
      </c>
      <c r="V158" s="78">
        <v>104.3198086396643</v>
      </c>
      <c r="Y158" s="28"/>
      <c r="Z158" s="28"/>
      <c r="AK158" s="28"/>
      <c r="AS158" s="28"/>
      <c r="AT158" s="28"/>
    </row>
    <row r="159" spans="3:46" x14ac:dyDescent="0.15">
      <c r="C159" s="11">
        <v>1.3284236192703247E-2</v>
      </c>
      <c r="D159" s="11">
        <v>1.8888384103775024E-2</v>
      </c>
      <c r="E159" s="11">
        <v>0.21761460125381815</v>
      </c>
      <c r="F159" s="11">
        <v>0</v>
      </c>
      <c r="G159" s="11">
        <v>3.6051392555236816E-2</v>
      </c>
      <c r="H159" s="40">
        <v>5.9514208161007005E-4</v>
      </c>
      <c r="I159" s="40">
        <v>1.4675776822277908</v>
      </c>
      <c r="J159" s="59">
        <v>0</v>
      </c>
      <c r="K159" s="59">
        <v>5135.4034803807735</v>
      </c>
      <c r="L159" s="59">
        <v>0</v>
      </c>
      <c r="M159" s="11">
        <v>0.76007080078125</v>
      </c>
      <c r="N159" s="11">
        <v>0.76620543003082275</v>
      </c>
      <c r="O159" s="11">
        <v>0.2517324686050415</v>
      </c>
      <c r="Q159" s="59">
        <v>13.211926887815816</v>
      </c>
      <c r="R159" s="78">
        <v>547.06811461318819</v>
      </c>
      <c r="S159" s="78">
        <v>13.239334635897869</v>
      </c>
      <c r="T159" s="78">
        <v>612.99852995962965</v>
      </c>
      <c r="U159" s="78">
        <v>2.7407748082053374E-2</v>
      </c>
      <c r="V159" s="78">
        <v>65.930415346441464</v>
      </c>
      <c r="Y159" s="28"/>
      <c r="Z159" s="28"/>
      <c r="AK159" s="28"/>
      <c r="AS159" s="28"/>
      <c r="AT159" s="28"/>
    </row>
    <row r="160" spans="3:46" x14ac:dyDescent="0.15">
      <c r="C160" s="11">
        <v>1.7110854387283325E-2</v>
      </c>
      <c r="D160" s="11">
        <v>4.315793514251709E-2</v>
      </c>
      <c r="E160" s="11">
        <v>0.30237700883803237</v>
      </c>
      <c r="F160" s="11">
        <v>0</v>
      </c>
      <c r="G160" s="11">
        <v>3.7648439407348633E-2</v>
      </c>
      <c r="H160" s="40">
        <v>6.5289117612120123E-4</v>
      </c>
      <c r="I160" s="40">
        <v>1.2965252656420343</v>
      </c>
      <c r="J160" s="59">
        <v>0</v>
      </c>
      <c r="K160" s="59">
        <v>4029.2111225426197</v>
      </c>
      <c r="L160" s="59">
        <v>0</v>
      </c>
      <c r="M160" s="11">
        <v>0.84562796354293823</v>
      </c>
      <c r="N160" s="11">
        <v>0.74497395753860474</v>
      </c>
      <c r="O160" s="11">
        <v>0.35368680953979492</v>
      </c>
      <c r="Q160" s="59">
        <v>14.62316415362514</v>
      </c>
      <c r="R160" s="78">
        <v>474.4880373772292</v>
      </c>
      <c r="S160" s="78">
        <v>14.663454292003674</v>
      </c>
      <c r="T160" s="78">
        <v>603.60889222662684</v>
      </c>
      <c r="U160" s="78">
        <v>4.0290138378534124E-2</v>
      </c>
      <c r="V160" s="78">
        <v>129.12085484939763</v>
      </c>
      <c r="Y160" s="28"/>
      <c r="Z160" s="28"/>
      <c r="AK160" s="28"/>
      <c r="AS160" s="28"/>
      <c r="AT160" s="28"/>
    </row>
    <row r="161" spans="3:46" x14ac:dyDescent="0.15">
      <c r="C161" s="11">
        <v>1.1994332075119019E-2</v>
      </c>
      <c r="D161" s="11">
        <v>3.2453656196594238E-2</v>
      </c>
      <c r="E161" s="11">
        <v>0.17734361915334471</v>
      </c>
      <c r="F161" s="11">
        <v>0</v>
      </c>
      <c r="G161" s="11">
        <v>3.6864876747131348E-2</v>
      </c>
      <c r="H161" s="40">
        <v>3.4939607838605511E-4</v>
      </c>
      <c r="I161" s="40">
        <v>1.5157856761204218</v>
      </c>
      <c r="J161" s="59">
        <v>0</v>
      </c>
      <c r="K161" s="59">
        <v>5631.2093511223793</v>
      </c>
      <c r="L161" s="59">
        <v>0</v>
      </c>
      <c r="M161" s="11">
        <v>0.83348309993743896</v>
      </c>
      <c r="N161" s="11">
        <v>0.72448265552520752</v>
      </c>
      <c r="O161" s="11">
        <v>0.34115219116210938</v>
      </c>
      <c r="Q161" s="59">
        <v>14.486287509347427</v>
      </c>
      <c r="R161" s="78">
        <v>508.68764723668835</v>
      </c>
      <c r="S161" s="78">
        <v>14.534988153022248</v>
      </c>
      <c r="T161" s="78">
        <v>599.6470865125458</v>
      </c>
      <c r="U161" s="78">
        <v>4.8700643674820299E-2</v>
      </c>
      <c r="V161" s="78">
        <v>90.959439275857449</v>
      </c>
      <c r="Y161" s="28"/>
      <c r="Z161" s="28"/>
      <c r="AK161" s="28"/>
      <c r="AS161" s="28"/>
      <c r="AT161" s="28"/>
    </row>
    <row r="162" spans="3:46" x14ac:dyDescent="0.15">
      <c r="C162" s="11">
        <v>1.189751923084259E-2</v>
      </c>
      <c r="D162" s="11">
        <v>1.5773117542266846E-2</v>
      </c>
      <c r="E162" s="11">
        <v>0.31471100121566703</v>
      </c>
      <c r="F162" s="11">
        <v>0</v>
      </c>
      <c r="G162" s="11">
        <v>4.9339592456817627E-2</v>
      </c>
      <c r="H162" s="40">
        <v>4.6946839588529504E-4</v>
      </c>
      <c r="I162" s="40">
        <v>1.4421379690175049</v>
      </c>
      <c r="J162" s="59">
        <v>0</v>
      </c>
      <c r="K162" s="59">
        <v>4638.3542940020561</v>
      </c>
      <c r="L162" s="59">
        <v>0</v>
      </c>
      <c r="M162" s="11">
        <v>0.86596572399139404</v>
      </c>
      <c r="N162" s="11">
        <v>0.75878077745437622</v>
      </c>
      <c r="O162" s="11">
        <v>0.3043825626373291</v>
      </c>
      <c r="Q162" s="59">
        <v>15.050478855263375</v>
      </c>
      <c r="R162" s="78">
        <v>503.20729855258099</v>
      </c>
      <c r="S162" s="78">
        <v>15.093753913364251</v>
      </c>
      <c r="T162" s="78">
        <v>613.81202183750077</v>
      </c>
      <c r="U162" s="78">
        <v>4.3275058100876507E-2</v>
      </c>
      <c r="V162" s="78">
        <v>110.60472328491977</v>
      </c>
      <c r="Y162" s="28"/>
      <c r="Z162" s="28"/>
      <c r="AK162" s="28"/>
      <c r="AS162" s="28"/>
      <c r="AT162" s="28"/>
    </row>
    <row r="163" spans="3:46" x14ac:dyDescent="0.15">
      <c r="C163" s="11">
        <v>7.313072681427002E-3</v>
      </c>
      <c r="D163" s="11">
        <v>1.4181911945343018E-2</v>
      </c>
      <c r="E163" s="11">
        <v>0.16767360414544344</v>
      </c>
      <c r="F163" s="11">
        <v>0</v>
      </c>
      <c r="G163" s="11">
        <v>1.6478657722473145E-2</v>
      </c>
      <c r="H163" s="40">
        <v>4.2745024588111609E-4</v>
      </c>
      <c r="I163" s="40">
        <v>1.5799772372173684</v>
      </c>
      <c r="J163" s="59">
        <v>0</v>
      </c>
      <c r="K163" s="59">
        <v>4886.0278911888599</v>
      </c>
      <c r="L163" s="59">
        <v>0</v>
      </c>
      <c r="M163" s="11">
        <v>0.8577762246131897</v>
      </c>
      <c r="N163" s="11">
        <v>0.72151428461074829</v>
      </c>
      <c r="O163" s="11">
        <v>0.27152520418167114</v>
      </c>
      <c r="Q163" s="59">
        <v>14.947355863774781</v>
      </c>
      <c r="R163" s="78">
        <v>525.31419157124344</v>
      </c>
      <c r="S163" s="78">
        <v>15.024531779748967</v>
      </c>
      <c r="T163" s="78">
        <v>601.54647498256452</v>
      </c>
      <c r="U163" s="78">
        <v>7.7175915974185827E-2</v>
      </c>
      <c r="V163" s="78">
        <v>76.232283411321077</v>
      </c>
      <c r="Y163" s="28"/>
      <c r="Z163" s="28"/>
      <c r="AK163" s="28"/>
      <c r="AS163" s="28"/>
      <c r="AT163" s="28"/>
    </row>
    <row r="164" spans="3:46" x14ac:dyDescent="0.15">
      <c r="C164" s="11">
        <v>2.2781103849411011E-2</v>
      </c>
      <c r="D164" s="11">
        <v>5.0516724586486816E-3</v>
      </c>
      <c r="E164" s="11">
        <v>0.27545068501507353</v>
      </c>
      <c r="F164" s="11">
        <v>0</v>
      </c>
      <c r="G164" s="11">
        <v>2.4616837501525879E-2</v>
      </c>
      <c r="H164" s="40">
        <v>5.3084354049347097E-4</v>
      </c>
      <c r="I164" s="40">
        <v>1.2996578991653316</v>
      </c>
      <c r="J164" s="59">
        <v>0</v>
      </c>
      <c r="K164" s="59">
        <v>3212.3783603310585</v>
      </c>
      <c r="L164" s="59">
        <v>0</v>
      </c>
      <c r="M164" s="11">
        <v>0.8281283974647522</v>
      </c>
      <c r="N164" s="11">
        <v>0.74032258987426758</v>
      </c>
      <c r="O164" s="11">
        <v>0.23464775085449219</v>
      </c>
      <c r="Q164" s="59">
        <v>14.256523358997129</v>
      </c>
      <c r="R164" s="78">
        <v>443.27409224683583</v>
      </c>
      <c r="S164" s="78">
        <v>14.283904286690856</v>
      </c>
      <c r="T164" s="78">
        <v>592.70331609070911</v>
      </c>
      <c r="U164" s="78">
        <v>2.7380927693727131E-2</v>
      </c>
      <c r="V164" s="78">
        <v>149.42922384387327</v>
      </c>
      <c r="Y164" s="28"/>
      <c r="Z164" s="28"/>
      <c r="AK164" s="28"/>
      <c r="AS164" s="28"/>
      <c r="AT164" s="28"/>
    </row>
    <row r="165" spans="3:46" x14ac:dyDescent="0.15">
      <c r="C165" s="11">
        <v>1.1010617017745972E-2</v>
      </c>
      <c r="D165" s="11">
        <v>1.3011157512664795E-2</v>
      </c>
      <c r="E165" s="11">
        <v>0.16956570489195941</v>
      </c>
      <c r="F165" s="11">
        <v>0</v>
      </c>
      <c r="G165" s="11">
        <v>6.4377307891845703E-2</v>
      </c>
      <c r="H165" s="40">
        <v>4.7731992772808026E-4</v>
      </c>
      <c r="I165" s="40">
        <v>1.4231484393538221</v>
      </c>
      <c r="J165" s="59">
        <v>0</v>
      </c>
      <c r="K165" s="59">
        <v>7193.0699050426483</v>
      </c>
      <c r="L165" s="59">
        <v>0</v>
      </c>
      <c r="M165" s="11">
        <v>0.83588474988937378</v>
      </c>
      <c r="N165" s="11">
        <v>0.75772899389266968</v>
      </c>
      <c r="O165" s="11">
        <v>0.24044036865234375</v>
      </c>
      <c r="Q165" s="59">
        <v>14.546354252940473</v>
      </c>
      <c r="R165" s="78">
        <v>568.99074062182581</v>
      </c>
      <c r="S165" s="78">
        <v>14.592518990689207</v>
      </c>
      <c r="T165" s="78">
        <v>609.10951938731307</v>
      </c>
      <c r="U165" s="78">
        <v>4.6164737748734197E-2</v>
      </c>
      <c r="V165" s="78">
        <v>40.118778765487264</v>
      </c>
      <c r="Y165" s="28"/>
      <c r="Z165" s="28"/>
      <c r="AK165" s="28"/>
      <c r="AS165" s="28"/>
      <c r="AT165" s="28"/>
    </row>
    <row r="166" spans="3:46" x14ac:dyDescent="0.15">
      <c r="C166" s="11">
        <v>4.2138218879699707E-2</v>
      </c>
      <c r="D166" s="11">
        <v>2.294515073299408E-2</v>
      </c>
      <c r="E166" s="11">
        <v>0.20416990600174842</v>
      </c>
      <c r="F166" s="11">
        <v>0</v>
      </c>
      <c r="G166" s="11">
        <v>2.1459132432937622E-2</v>
      </c>
      <c r="H166" s="40">
        <v>5.2335479918334273E-4</v>
      </c>
      <c r="I166" s="40">
        <v>1.3525068774593234</v>
      </c>
      <c r="J166" s="59">
        <v>0</v>
      </c>
      <c r="K166" s="59">
        <v>5308.294203132391</v>
      </c>
      <c r="L166" s="59">
        <v>0</v>
      </c>
      <c r="M166" s="11">
        <v>0.81746625900268555</v>
      </c>
      <c r="N166" s="11">
        <v>0.68720006942749023</v>
      </c>
      <c r="O166" s="11">
        <v>0.25155091285705566</v>
      </c>
      <c r="Q166" s="59">
        <v>13.774715649531498</v>
      </c>
      <c r="R166" s="78">
        <v>483.71790180150111</v>
      </c>
      <c r="S166" s="78">
        <v>13.819289482485329</v>
      </c>
      <c r="T166" s="78">
        <v>597.54842347118006</v>
      </c>
      <c r="U166" s="78">
        <v>4.4573832953831882E-2</v>
      </c>
      <c r="V166" s="78">
        <v>113.83052166967894</v>
      </c>
      <c r="Y166" s="28"/>
      <c r="Z166" s="28"/>
      <c r="AK166" s="28"/>
      <c r="AS166" s="28"/>
      <c r="AT166" s="28"/>
    </row>
    <row r="167" spans="3:46" x14ac:dyDescent="0.15">
      <c r="C167" s="11">
        <v>2.6094228029251099E-2</v>
      </c>
      <c r="D167" s="11">
        <v>1.5733957290649414E-2</v>
      </c>
      <c r="E167" s="11">
        <v>0.45014221365033108</v>
      </c>
      <c r="F167" s="11">
        <v>0</v>
      </c>
      <c r="G167" s="11">
        <v>2.7592331171035767E-2</v>
      </c>
      <c r="H167" s="40">
        <v>5.2465983869101228E-4</v>
      </c>
      <c r="I167" s="40">
        <v>1.3421498887438541</v>
      </c>
      <c r="J167" s="59">
        <v>0</v>
      </c>
      <c r="K167" s="59">
        <v>4665.3207391500473</v>
      </c>
      <c r="L167" s="59">
        <v>0</v>
      </c>
      <c r="M167" s="11">
        <v>0.89881432056427002</v>
      </c>
      <c r="N167" s="11">
        <v>0.69399178028106689</v>
      </c>
      <c r="O167" s="11">
        <v>0.29641193151473999</v>
      </c>
      <c r="Q167" s="59">
        <v>15.387240944528948</v>
      </c>
      <c r="R167" s="78">
        <v>474.92328834637613</v>
      </c>
      <c r="S167" s="78">
        <v>15.428035506497904</v>
      </c>
      <c r="T167" s="78">
        <v>615.73033061326385</v>
      </c>
      <c r="U167" s="78">
        <v>4.07945619689567E-2</v>
      </c>
      <c r="V167" s="78">
        <v>140.80704226688772</v>
      </c>
      <c r="Y167" s="28"/>
      <c r="Z167" s="28"/>
      <c r="AK167" s="28"/>
      <c r="AS167" s="28"/>
      <c r="AT167" s="28"/>
    </row>
    <row r="168" spans="3:46" x14ac:dyDescent="0.15">
      <c r="C168" s="11">
        <v>2.1560639142990112E-2</v>
      </c>
      <c r="D168" s="11">
        <v>3.0367255210876465E-2</v>
      </c>
      <c r="E168" s="11">
        <v>0.31732090603030333</v>
      </c>
      <c r="F168" s="11">
        <v>0</v>
      </c>
      <c r="G168" s="11">
        <v>2.3983031511306763E-2</v>
      </c>
      <c r="H168" s="40">
        <v>3.5090912351607329E-4</v>
      </c>
      <c r="I168" s="40">
        <v>1.4590484071001839</v>
      </c>
      <c r="J168" s="59">
        <v>0</v>
      </c>
      <c r="K168" s="59">
        <v>3695.441409945488</v>
      </c>
      <c r="L168" s="59">
        <v>0</v>
      </c>
      <c r="M168" s="11">
        <v>0.85069024562835693</v>
      </c>
      <c r="N168" s="11">
        <v>0.70798063278198242</v>
      </c>
      <c r="O168" s="11">
        <v>0.24053049087524414</v>
      </c>
      <c r="Q168" s="59">
        <v>14.642740368973454</v>
      </c>
      <c r="R168" s="78">
        <v>453.34766422234065</v>
      </c>
      <c r="S168" s="78">
        <v>14.683147969591278</v>
      </c>
      <c r="T168" s="78">
        <v>598.02936979758624</v>
      </c>
      <c r="U168" s="78">
        <v>4.0407600617824002E-2</v>
      </c>
      <c r="V168" s="78">
        <v>144.68170557524559</v>
      </c>
      <c r="Y168" s="28"/>
      <c r="Z168" s="28"/>
      <c r="AK168" s="28"/>
      <c r="AS168" s="28"/>
      <c r="AT168" s="28"/>
    </row>
    <row r="169" spans="3:46" x14ac:dyDescent="0.15">
      <c r="C169" s="11">
        <v>4.0105342864990234E-2</v>
      </c>
      <c r="D169" s="11">
        <v>1.3295382261276245E-2</v>
      </c>
      <c r="E169" s="11">
        <v>0.43423902567309441</v>
      </c>
      <c r="F169" s="11">
        <v>0</v>
      </c>
      <c r="G169" s="11">
        <v>3.0603945255279541E-2</v>
      </c>
      <c r="H169" s="40">
        <v>2.6695899758601756E-4</v>
      </c>
      <c r="I169" s="40">
        <v>1.5722517467215726</v>
      </c>
      <c r="J169" s="59">
        <v>0</v>
      </c>
      <c r="K169" s="59">
        <v>3746.7619404196739</v>
      </c>
      <c r="L169" s="59">
        <v>0</v>
      </c>
      <c r="M169" s="11">
        <v>0.87014350295066833</v>
      </c>
      <c r="N169" s="11">
        <v>0.70013964176177979</v>
      </c>
      <c r="O169" s="11">
        <v>0.28628268837928772</v>
      </c>
      <c r="Q169" s="59">
        <v>14.688008788450057</v>
      </c>
      <c r="R169" s="78">
        <v>459.11931509537686</v>
      </c>
      <c r="S169" s="78">
        <v>14.724708822468921</v>
      </c>
      <c r="T169" s="78">
        <v>607.55222825338683</v>
      </c>
      <c r="U169" s="78">
        <v>3.6700034018863903E-2</v>
      </c>
      <c r="V169" s="78">
        <v>148.43291315800997</v>
      </c>
      <c r="Y169" s="28"/>
      <c r="Z169" s="28"/>
      <c r="AK169" s="28"/>
      <c r="AS169" s="28"/>
      <c r="AT169" s="28"/>
    </row>
    <row r="170" spans="3:46" x14ac:dyDescent="0.15">
      <c r="C170" s="11">
        <v>5.7075023651123047E-2</v>
      </c>
      <c r="D170" s="11">
        <v>8.4975957870483398E-3</v>
      </c>
      <c r="E170" s="11">
        <v>0.14845097552914072</v>
      </c>
      <c r="F170" s="11">
        <v>0</v>
      </c>
      <c r="G170" s="11">
        <v>5.5185496807098389E-2</v>
      </c>
      <c r="H170" s="40">
        <v>3.4490259168699292E-4</v>
      </c>
      <c r="I170" s="40">
        <v>1.4691892347067805</v>
      </c>
      <c r="J170" s="59">
        <v>0</v>
      </c>
      <c r="K170" s="59">
        <v>6851.8053740262985</v>
      </c>
      <c r="L170" s="59">
        <v>0</v>
      </c>
      <c r="M170" s="11">
        <v>0.83423510193824768</v>
      </c>
      <c r="N170" s="11">
        <v>0.78241920471191406</v>
      </c>
      <c r="O170" s="11">
        <v>0.24318933486938477</v>
      </c>
      <c r="Q170" s="59">
        <v>13.858490471675012</v>
      </c>
      <c r="R170" s="78">
        <v>520.59654724590246</v>
      </c>
      <c r="S170" s="78">
        <v>13.889106338185513</v>
      </c>
      <c r="T170" s="78">
        <v>598.0361101803262</v>
      </c>
      <c r="U170" s="78">
        <v>3.0615866510501633E-2</v>
      </c>
      <c r="V170" s="78">
        <v>77.439562934423748</v>
      </c>
      <c r="Y170" s="28"/>
      <c r="Z170" s="28"/>
      <c r="AK170" s="28"/>
      <c r="AS170" s="28"/>
      <c r="AT170" s="28"/>
    </row>
    <row r="171" spans="3:46" x14ac:dyDescent="0.15">
      <c r="C171" s="11">
        <v>2.5842905044555664E-2</v>
      </c>
      <c r="D171" s="11">
        <v>4.3884396553039551E-2</v>
      </c>
      <c r="E171" s="11">
        <v>0.31227315443510201</v>
      </c>
      <c r="F171" s="11">
        <v>0</v>
      </c>
      <c r="G171" s="11">
        <v>2.5756776332855225E-2</v>
      </c>
      <c r="H171" s="40">
        <v>3.8292653863677842E-4</v>
      </c>
      <c r="I171" s="40">
        <v>1.4955398726374458</v>
      </c>
      <c r="J171" s="59">
        <v>0</v>
      </c>
      <c r="K171" s="59">
        <v>5932.7320195734501</v>
      </c>
      <c r="L171" s="59">
        <v>0</v>
      </c>
      <c r="M171" s="11">
        <v>0.82205188274383545</v>
      </c>
      <c r="N171" s="11">
        <v>0.70701706409454346</v>
      </c>
      <c r="O171" s="11">
        <v>0.23310279846191406</v>
      </c>
      <c r="Q171" s="59">
        <v>14.078310769004995</v>
      </c>
      <c r="R171" s="78">
        <v>509.7168282327828</v>
      </c>
      <c r="S171" s="78">
        <v>14.1239522486814</v>
      </c>
      <c r="T171" s="78">
        <v>615.60668415024873</v>
      </c>
      <c r="U171" s="78">
        <v>4.5641479676405083E-2</v>
      </c>
      <c r="V171" s="78">
        <v>105.88985591746592</v>
      </c>
      <c r="Y171" s="28"/>
      <c r="Z171" s="28"/>
      <c r="AK171" s="28"/>
      <c r="AS171" s="28"/>
      <c r="AT171" s="28"/>
    </row>
    <row r="172" spans="3:46" x14ac:dyDescent="0.15">
      <c r="C172" s="11">
        <v>3.3438444137573242E-2</v>
      </c>
      <c r="D172" s="11">
        <v>3.7285983562469482E-2</v>
      </c>
      <c r="E172" s="11">
        <v>0.22991564641421949</v>
      </c>
      <c r="F172" s="11">
        <v>0</v>
      </c>
      <c r="G172" s="11">
        <v>9.5246791839599609E-2</v>
      </c>
      <c r="H172" s="40">
        <v>3.7341466247402575E-4</v>
      </c>
      <c r="I172" s="40">
        <v>1.5077374024793062</v>
      </c>
      <c r="J172" s="59">
        <v>0</v>
      </c>
      <c r="K172" s="59">
        <v>2993.755042552948</v>
      </c>
      <c r="L172" s="59">
        <v>0</v>
      </c>
      <c r="M172" s="11">
        <v>0.87610363960266113</v>
      </c>
      <c r="N172" s="11">
        <v>0.67109346389770508</v>
      </c>
      <c r="O172" s="11">
        <v>0.28110051155090332</v>
      </c>
      <c r="Q172" s="59">
        <v>14.856698702661118</v>
      </c>
      <c r="R172" s="78">
        <v>473.29007008863226</v>
      </c>
      <c r="S172" s="78">
        <v>14.93406722028104</v>
      </c>
      <c r="T172" s="78">
        <v>597.48699760428144</v>
      </c>
      <c r="U172" s="78">
        <v>7.7368517619921917E-2</v>
      </c>
      <c r="V172" s="78">
        <v>124.19692751564918</v>
      </c>
      <c r="Y172" s="28"/>
      <c r="Z172" s="28"/>
      <c r="AK172" s="28"/>
      <c r="AS172" s="28"/>
      <c r="AT172" s="28"/>
    </row>
    <row r="173" spans="3:46" x14ac:dyDescent="0.15">
      <c r="C173" s="11">
        <v>1.9618570804595947E-2</v>
      </c>
      <c r="D173" s="11">
        <v>2.0211905241012573E-2</v>
      </c>
      <c r="E173" s="11">
        <v>0.12674669275987302</v>
      </c>
      <c r="F173" s="11">
        <v>0</v>
      </c>
      <c r="G173" s="11">
        <v>5.6122481822967529E-2</v>
      </c>
      <c r="H173" s="40">
        <v>5.5566363830374262E-4</v>
      </c>
      <c r="I173" s="40">
        <v>1.4761666918397627</v>
      </c>
      <c r="J173" s="59">
        <v>0</v>
      </c>
      <c r="K173" s="59">
        <v>5210.0978791713715</v>
      </c>
      <c r="L173" s="59">
        <v>0</v>
      </c>
      <c r="M173" s="11">
        <v>0.88642740249633789</v>
      </c>
      <c r="N173" s="11">
        <v>0.73958975076675415</v>
      </c>
      <c r="O173" s="11">
        <v>0.30705446004867554</v>
      </c>
      <c r="Q173" s="59">
        <v>15.248824558911668</v>
      </c>
      <c r="R173" s="78">
        <v>556.97681265035453</v>
      </c>
      <c r="S173" s="78">
        <v>15.337114099777576</v>
      </c>
      <c r="T173" s="78">
        <v>600.10824710015208</v>
      </c>
      <c r="U173" s="78">
        <v>8.8289540865908123E-2</v>
      </c>
      <c r="V173" s="78">
        <v>43.131434449797553</v>
      </c>
      <c r="Y173" s="28"/>
      <c r="Z173" s="28"/>
      <c r="AK173" s="28"/>
      <c r="AS173" s="28"/>
      <c r="AT173" s="28"/>
    </row>
    <row r="174" spans="3:46" x14ac:dyDescent="0.15">
      <c r="C174" s="11">
        <v>1.4699235558509827E-2</v>
      </c>
      <c r="D174" s="11">
        <v>1.1911213397979736E-2</v>
      </c>
      <c r="E174" s="11">
        <v>0.29432312061277294</v>
      </c>
      <c r="F174" s="11">
        <v>0</v>
      </c>
      <c r="G174" s="11">
        <v>1.7616391181945801E-2</v>
      </c>
      <c r="H174" s="40">
        <v>4.312670831352226E-4</v>
      </c>
      <c r="I174" s="40">
        <v>1.4394883595606647</v>
      </c>
      <c r="J174" s="59">
        <v>0</v>
      </c>
      <c r="K174" s="59">
        <v>3756.2055513262749</v>
      </c>
      <c r="L174" s="59">
        <v>0</v>
      </c>
      <c r="M174" s="11">
        <v>0.86260139942169189</v>
      </c>
      <c r="N174" s="11">
        <v>0.74971216917037964</v>
      </c>
      <c r="O174" s="11">
        <v>0.3226202130317688</v>
      </c>
      <c r="Q174" s="59">
        <v>14.95938263409033</v>
      </c>
      <c r="R174" s="78">
        <v>461.92682231189627</v>
      </c>
      <c r="S174" s="78">
        <v>14.99675623095516</v>
      </c>
      <c r="T174" s="78">
        <v>599.24241404547956</v>
      </c>
      <c r="U174" s="78">
        <v>3.7373596864830105E-2</v>
      </c>
      <c r="V174" s="78">
        <v>137.31559173358329</v>
      </c>
      <c r="Y174" s="28"/>
      <c r="Z174" s="28"/>
      <c r="AK174" s="28"/>
      <c r="AS174" s="28"/>
      <c r="AT174" s="28"/>
    </row>
    <row r="175" spans="3:46" x14ac:dyDescent="0.15">
      <c r="C175" s="11">
        <v>1.0639369487762451E-2</v>
      </c>
      <c r="D175" s="11">
        <v>1.5975877642631531E-2</v>
      </c>
      <c r="E175" s="11">
        <v>0.62726421996966064</v>
      </c>
      <c r="F175" s="11">
        <v>0</v>
      </c>
      <c r="G175" s="11">
        <v>2.6842027902603149E-2</v>
      </c>
      <c r="H175" s="40">
        <v>5.6589212272090605E-4</v>
      </c>
      <c r="I175" s="40">
        <v>1.4363012292259993</v>
      </c>
      <c r="J175" s="59">
        <v>0</v>
      </c>
      <c r="K175" s="59">
        <v>6251.4888122677803</v>
      </c>
      <c r="L175" s="59">
        <v>0</v>
      </c>
      <c r="M175" s="11">
        <v>0.83598959445953369</v>
      </c>
      <c r="N175" s="11">
        <v>0.75911647081375122</v>
      </c>
      <c r="O175" s="11">
        <v>0.32431173324584961</v>
      </c>
      <c r="Q175" s="59">
        <v>14.551672679038449</v>
      </c>
      <c r="R175" s="78">
        <v>548.84462523270042</v>
      </c>
      <c r="S175" s="78">
        <v>14.57285738470709</v>
      </c>
      <c r="T175" s="78">
        <v>676.94514515917456</v>
      </c>
      <c r="U175" s="78">
        <v>2.1184705668641612E-2</v>
      </c>
      <c r="V175" s="78">
        <v>128.10051992647413</v>
      </c>
      <c r="Y175" s="28"/>
      <c r="Z175" s="28"/>
      <c r="AK175" s="28"/>
      <c r="AS175" s="28"/>
      <c r="AT175" s="28"/>
    </row>
    <row r="176" spans="3:46" x14ac:dyDescent="0.15">
      <c r="C176" s="11">
        <v>5.1225274801254272E-3</v>
      </c>
      <c r="D176" s="11">
        <v>3.733372688293457E-2</v>
      </c>
      <c r="E176" s="11">
        <v>0.26605556980662531</v>
      </c>
      <c r="F176" s="11">
        <v>0</v>
      </c>
      <c r="G176" s="11">
        <v>4.8338592052459717E-2</v>
      </c>
      <c r="H176" s="40">
        <v>3.6220690772025731E-4</v>
      </c>
      <c r="I176" s="40">
        <v>1.4657804876310829</v>
      </c>
      <c r="J176" s="59">
        <v>0</v>
      </c>
      <c r="K176" s="59">
        <v>3921.1893454194069</v>
      </c>
      <c r="L176" s="59">
        <v>0</v>
      </c>
      <c r="M176" s="11">
        <v>0.81351542472839355</v>
      </c>
      <c r="N176" s="11">
        <v>0.72968858480453491</v>
      </c>
      <c r="O176" s="11">
        <v>0.30730205774307251</v>
      </c>
      <c r="Q176" s="59">
        <v>14.245519037211951</v>
      </c>
      <c r="R176" s="78">
        <v>470.18444749347191</v>
      </c>
      <c r="S176" s="78">
        <v>14.282376407744556</v>
      </c>
      <c r="T176" s="78">
        <v>599.50480175777386</v>
      </c>
      <c r="U176" s="78">
        <v>3.6857370532604961E-2</v>
      </c>
      <c r="V176" s="78">
        <v>129.32035426430195</v>
      </c>
      <c r="Y176" s="28"/>
      <c r="Z176" s="28"/>
      <c r="AK176" s="28"/>
      <c r="AS176" s="28"/>
      <c r="AT176" s="28"/>
    </row>
    <row r="177" spans="3:46" x14ac:dyDescent="0.15">
      <c r="C177" s="11">
        <v>1.9802644848823547E-2</v>
      </c>
      <c r="D177" s="11">
        <v>3.4182965755462646E-2</v>
      </c>
      <c r="E177" s="11">
        <v>0.50018619635684614</v>
      </c>
      <c r="F177" s="11">
        <v>0</v>
      </c>
      <c r="G177" s="11">
        <v>0.10959815979003906</v>
      </c>
      <c r="H177" s="40">
        <v>4.0575541390598462E-4</v>
      </c>
      <c r="I177" s="40">
        <v>1.4397985370829478</v>
      </c>
      <c r="J177" s="59">
        <v>0</v>
      </c>
      <c r="K177" s="59">
        <v>3987.7928793430328</v>
      </c>
      <c r="L177" s="59">
        <v>0</v>
      </c>
      <c r="M177" s="11">
        <v>0.85105729103088379</v>
      </c>
      <c r="N177" s="11">
        <v>0.77225810289382935</v>
      </c>
      <c r="O177" s="11">
        <v>0.31771934032440186</v>
      </c>
      <c r="Q177" s="59">
        <v>14.675512654715908</v>
      </c>
      <c r="R177" s="78">
        <v>494.73006373061185</v>
      </c>
      <c r="S177" s="78">
        <v>14.704985449699542</v>
      </c>
      <c r="T177" s="78">
        <v>629.77446463746492</v>
      </c>
      <c r="U177" s="78">
        <v>2.9472794983634643E-2</v>
      </c>
      <c r="V177" s="78">
        <v>135.04440090685307</v>
      </c>
      <c r="Y177" s="28"/>
      <c r="Z177" s="28"/>
      <c r="AK177" s="28"/>
      <c r="AS177" s="28"/>
      <c r="AT177" s="28"/>
    </row>
    <row r="178" spans="3:46" x14ac:dyDescent="0.15">
      <c r="C178" s="11">
        <v>1.6097471117973328E-2</v>
      </c>
      <c r="D178" s="11">
        <v>2.2416368126869202E-2</v>
      </c>
      <c r="E178" s="11">
        <v>0.2995670125664503</v>
      </c>
      <c r="F178" s="11">
        <v>0</v>
      </c>
      <c r="G178" s="11">
        <v>5.1224410533905029E-2</v>
      </c>
      <c r="H178" s="40">
        <v>5.290103364409349E-4</v>
      </c>
      <c r="I178" s="40">
        <v>1.4218811299524647</v>
      </c>
      <c r="J178" s="59">
        <v>0</v>
      </c>
      <c r="K178" s="59">
        <v>7854.7745943069458</v>
      </c>
      <c r="L178" s="59">
        <v>0</v>
      </c>
      <c r="M178" s="11">
        <v>0.87018179893493652</v>
      </c>
      <c r="N178" s="11">
        <v>0.70570647716522217</v>
      </c>
      <c r="O178" s="11">
        <v>0.23379182815551758</v>
      </c>
      <c r="Q178" s="59">
        <v>15.032289318108282</v>
      </c>
      <c r="R178" s="78">
        <v>590.70367023553854</v>
      </c>
      <c r="S178" s="78">
        <v>15.095461805212828</v>
      </c>
      <c r="T178" s="78">
        <v>638.74057568679018</v>
      </c>
      <c r="U178" s="78">
        <v>6.3172487104546704E-2</v>
      </c>
      <c r="V178" s="78">
        <v>48.036905451251641</v>
      </c>
      <c r="Y178" s="28"/>
      <c r="Z178" s="28"/>
      <c r="AK178" s="28"/>
      <c r="AS178" s="28"/>
      <c r="AT178" s="28"/>
    </row>
    <row r="179" spans="3:46" x14ac:dyDescent="0.15">
      <c r="C179" s="11">
        <v>2.6485979557037354E-2</v>
      </c>
      <c r="D179" s="11">
        <v>6.0932159423828125E-2</v>
      </c>
      <c r="E179" s="11">
        <v>0.217473260485646</v>
      </c>
      <c r="F179" s="11">
        <v>0</v>
      </c>
      <c r="G179" s="11">
        <v>2.9839634895324707E-2</v>
      </c>
      <c r="H179" s="40">
        <v>3.3897788076351661E-4</v>
      </c>
      <c r="I179" s="40">
        <v>1.438743088495597</v>
      </c>
      <c r="J179" s="59">
        <v>0</v>
      </c>
      <c r="K179" s="59">
        <v>3520.1618447899818</v>
      </c>
      <c r="L179" s="59">
        <v>0</v>
      </c>
      <c r="M179" s="11">
        <v>0.83840063214302063</v>
      </c>
      <c r="N179" s="11">
        <v>0.81291770935058594</v>
      </c>
      <c r="O179" s="11">
        <v>0.29983404278755188</v>
      </c>
      <c r="Q179" s="59">
        <v>14.382046588077024</v>
      </c>
      <c r="R179" s="78">
        <v>446.61104822730704</v>
      </c>
      <c r="S179" s="78">
        <v>14.409239928739513</v>
      </c>
      <c r="T179" s="78">
        <v>590.56455759695666</v>
      </c>
      <c r="U179" s="78">
        <v>2.7193340662488907E-2</v>
      </c>
      <c r="V179" s="78">
        <v>143.95350936964962</v>
      </c>
      <c r="Y179" s="28"/>
      <c r="Z179" s="28"/>
      <c r="AK179" s="28"/>
      <c r="AS179" s="28"/>
      <c r="AT179" s="28"/>
    </row>
    <row r="180" spans="3:46" x14ac:dyDescent="0.15">
      <c r="C180" s="11">
        <v>8.0355852842330933E-3</v>
      </c>
      <c r="D180" s="11">
        <v>4.240262508392334E-2</v>
      </c>
      <c r="E180" s="11">
        <v>0.65205873198239594</v>
      </c>
      <c r="F180" s="11">
        <v>0</v>
      </c>
      <c r="G180" s="11">
        <v>3.2686173915863037E-2</v>
      </c>
      <c r="H180" s="40">
        <v>3.9386130757450901E-4</v>
      </c>
      <c r="I180" s="40">
        <v>1.4561953713108908</v>
      </c>
      <c r="J180" s="59">
        <v>0</v>
      </c>
      <c r="K180" s="59">
        <v>6256.9300644099712</v>
      </c>
      <c r="L180" s="59">
        <v>0</v>
      </c>
      <c r="M180" s="11">
        <v>0.85208678245544434</v>
      </c>
      <c r="N180" s="11">
        <v>0.73078656196594238</v>
      </c>
      <c r="O180" s="11">
        <v>0.2860095202922821</v>
      </c>
      <c r="Q180" s="59">
        <v>14.865688340584969</v>
      </c>
      <c r="R180" s="78">
        <v>512.37727866897603</v>
      </c>
      <c r="S180" s="78">
        <v>14.887771964907555</v>
      </c>
      <c r="T180" s="78">
        <v>656.63984518024711</v>
      </c>
      <c r="U180" s="78">
        <v>2.2083624322586815E-2</v>
      </c>
      <c r="V180" s="78">
        <v>144.26256651127107</v>
      </c>
      <c r="Y180" s="28"/>
      <c r="Z180" s="28"/>
      <c r="AK180" s="28"/>
      <c r="AS180" s="28"/>
      <c r="AT180" s="28"/>
    </row>
    <row r="181" spans="3:46" x14ac:dyDescent="0.15">
      <c r="C181" s="11">
        <v>1.9794285297393799E-2</v>
      </c>
      <c r="D181" s="11">
        <v>3.4191906452178955E-2</v>
      </c>
      <c r="E181" s="11">
        <v>0.29744214672572056</v>
      </c>
      <c r="F181" s="11">
        <v>0</v>
      </c>
      <c r="G181" s="11">
        <v>3.9227992296218872E-2</v>
      </c>
      <c r="H181" s="40">
        <v>3.5894196788850431E-4</v>
      </c>
      <c r="I181" s="40">
        <v>1.4669928281361162</v>
      </c>
      <c r="J181" s="59">
        <v>0</v>
      </c>
      <c r="K181" s="59">
        <v>4991.6049465537071</v>
      </c>
      <c r="L181" s="59">
        <v>0</v>
      </c>
      <c r="M181" s="11">
        <v>0.87330037355422974</v>
      </c>
      <c r="N181" s="11">
        <v>0.64783191680908203</v>
      </c>
      <c r="O181" s="11">
        <v>0.29638057947158813</v>
      </c>
      <c r="Q181" s="59">
        <v>15.036202033449239</v>
      </c>
      <c r="R181" s="78">
        <v>485.02683866824412</v>
      </c>
      <c r="S181" s="78">
        <v>15.094952722807868</v>
      </c>
      <c r="T181" s="78">
        <v>606.37718887739732</v>
      </c>
      <c r="U181" s="78">
        <v>5.8750689358628705E-2</v>
      </c>
      <c r="V181" s="78">
        <v>121.35035020915319</v>
      </c>
      <c r="Y181" s="28"/>
      <c r="Z181" s="28"/>
      <c r="AK181" s="28"/>
      <c r="AS181" s="28"/>
      <c r="AT181" s="28"/>
    </row>
    <row r="182" spans="3:46" x14ac:dyDescent="0.15">
      <c r="C182" s="11">
        <v>1.2329891324043274E-2</v>
      </c>
      <c r="D182" s="11">
        <v>2.9818087816238403E-2</v>
      </c>
      <c r="E182" s="11">
        <v>0.32044578030405424</v>
      </c>
      <c r="F182" s="11">
        <v>0</v>
      </c>
      <c r="G182" s="11">
        <v>3.0741840600967407E-2</v>
      </c>
      <c r="H182" s="40">
        <v>4.9183001737172207E-4</v>
      </c>
      <c r="I182" s="40">
        <v>1.4467871897168083</v>
      </c>
      <c r="J182" s="59">
        <v>0</v>
      </c>
      <c r="K182" s="59">
        <v>5742.5256818532944</v>
      </c>
      <c r="L182" s="59">
        <v>0</v>
      </c>
      <c r="M182" s="11">
        <v>0.84854143857955933</v>
      </c>
      <c r="N182" s="11">
        <v>0.74330669641494751</v>
      </c>
      <c r="O182" s="11">
        <v>0.30473411083221436</v>
      </c>
      <c r="Q182" s="59">
        <v>14.736261838563642</v>
      </c>
      <c r="R182" s="78">
        <v>523.96087396867028</v>
      </c>
      <c r="S182" s="78">
        <v>14.781593611251616</v>
      </c>
      <c r="T182" s="78">
        <v>621.22291259201745</v>
      </c>
      <c r="U182" s="78">
        <v>4.5331772687973171E-2</v>
      </c>
      <c r="V182" s="78">
        <v>97.262038623347166</v>
      </c>
      <c r="Y182" s="28"/>
      <c r="Z182" s="28"/>
      <c r="AK182" s="28"/>
      <c r="AS182" s="28"/>
      <c r="AT182" s="28"/>
    </row>
    <row r="183" spans="3:46" x14ac:dyDescent="0.15">
      <c r="C183" s="11">
        <v>3.9357423782348633E-2</v>
      </c>
      <c r="D183" s="11">
        <v>1.369631290435791E-2</v>
      </c>
      <c r="E183" s="11">
        <v>0.3385056427004598</v>
      </c>
      <c r="F183" s="11">
        <v>0</v>
      </c>
      <c r="G183" s="11">
        <v>2.206873893737793E-2</v>
      </c>
      <c r="H183" s="40">
        <v>3.4983031138902809E-4</v>
      </c>
      <c r="I183" s="40">
        <v>1.5055293342391121</v>
      </c>
      <c r="J183" s="59">
        <v>0</v>
      </c>
      <c r="K183" s="59">
        <v>4908.0466851592064</v>
      </c>
      <c r="L183" s="59">
        <v>0</v>
      </c>
      <c r="M183" s="11">
        <v>0.80890369415283203</v>
      </c>
      <c r="N183" s="11">
        <v>0.68576574325561523</v>
      </c>
      <c r="O183" s="11">
        <v>0.33043193817138672</v>
      </c>
      <c r="Q183" s="59">
        <v>13.672994417943428</v>
      </c>
      <c r="R183" s="78">
        <v>481.52973884495759</v>
      </c>
      <c r="S183" s="78">
        <v>13.707676595265738</v>
      </c>
      <c r="T183" s="78">
        <v>608.98219761087103</v>
      </c>
      <c r="U183" s="78">
        <v>3.4682177322309826E-2</v>
      </c>
      <c r="V183" s="78">
        <v>127.45245876591343</v>
      </c>
      <c r="Y183" s="28"/>
      <c r="Z183" s="28"/>
      <c r="AK183" s="28"/>
      <c r="AS183" s="28"/>
      <c r="AT183" s="28"/>
    </row>
    <row r="184" spans="3:46" x14ac:dyDescent="0.15">
      <c r="C184" s="11">
        <v>2.1925747394561768E-2</v>
      </c>
      <c r="D184" s="11">
        <v>5.1697492599487305E-3</v>
      </c>
      <c r="E184" s="11">
        <v>0.25119398083659289</v>
      </c>
      <c r="F184" s="11">
        <v>0</v>
      </c>
      <c r="G184" s="11">
        <v>1.6373813152313232E-2</v>
      </c>
      <c r="H184" s="40">
        <v>6.2184366609683509E-4</v>
      </c>
      <c r="I184" s="40">
        <v>1.3238001650702078</v>
      </c>
      <c r="J184" s="59">
        <v>0</v>
      </c>
      <c r="K184" s="59">
        <v>3942.0789107680321</v>
      </c>
      <c r="L184" s="59">
        <v>0</v>
      </c>
      <c r="M184" s="11">
        <v>0.8788832426071167</v>
      </c>
      <c r="N184" s="11">
        <v>0.717529296875</v>
      </c>
      <c r="O184" s="11">
        <v>0.31517565250396729</v>
      </c>
      <c r="Q184" s="59">
        <v>15.117382326243735</v>
      </c>
      <c r="R184" s="78">
        <v>466.10856590559285</v>
      </c>
      <c r="S184" s="78">
        <v>15.166910983770183</v>
      </c>
      <c r="T184" s="78">
        <v>597.34517465586327</v>
      </c>
      <c r="U184" s="78">
        <v>4.9528657526447972E-2</v>
      </c>
      <c r="V184" s="78">
        <v>131.23660875027042</v>
      </c>
      <c r="Y184" s="28"/>
      <c r="Z184" s="28"/>
      <c r="AK184" s="28"/>
      <c r="AS184" s="28"/>
      <c r="AT184" s="28"/>
    </row>
    <row r="185" spans="3:46" x14ac:dyDescent="0.15">
      <c r="C185" s="11">
        <v>3.5188913345336914E-2</v>
      </c>
      <c r="D185" s="11">
        <v>9.5987915992736816E-3</v>
      </c>
      <c r="E185" s="11">
        <v>0.11635648204639072</v>
      </c>
      <c r="F185" s="11">
        <v>0</v>
      </c>
      <c r="G185" s="11">
        <v>1.9384801387786865E-2</v>
      </c>
      <c r="H185" s="40">
        <v>4.9715044329967986E-4</v>
      </c>
      <c r="I185" s="40">
        <v>1.4836556588633925</v>
      </c>
      <c r="J185" s="59">
        <v>0</v>
      </c>
      <c r="K185" s="59">
        <v>7310.1837188005447</v>
      </c>
      <c r="L185" s="59">
        <v>0</v>
      </c>
      <c r="M185" s="11">
        <v>0.82970136404037476</v>
      </c>
      <c r="N185" s="11">
        <v>0.68680715560913086</v>
      </c>
      <c r="O185" s="11">
        <v>0.3383488655090332</v>
      </c>
      <c r="Q185" s="59">
        <v>14.06365070128509</v>
      </c>
      <c r="R185" s="78">
        <v>564.84208702642638</v>
      </c>
      <c r="S185" s="78">
        <v>14.130715497734087</v>
      </c>
      <c r="T185" s="78">
        <v>599.29758398567299</v>
      </c>
      <c r="U185" s="78">
        <v>6.7064796448997654E-2</v>
      </c>
      <c r="V185" s="78">
        <v>34.455496959246602</v>
      </c>
      <c r="Y185" s="28"/>
      <c r="Z185" s="28"/>
      <c r="AK185" s="28"/>
      <c r="AS185" s="28"/>
      <c r="AT185" s="28"/>
    </row>
    <row r="186" spans="3:46" x14ac:dyDescent="0.15">
      <c r="C186" s="11">
        <v>5.4401159286499023E-2</v>
      </c>
      <c r="D186" s="11">
        <v>1.8950626254081726E-2</v>
      </c>
      <c r="E186" s="11">
        <v>0.15599155089796748</v>
      </c>
      <c r="F186" s="11">
        <v>0</v>
      </c>
      <c r="G186" s="11">
        <v>5.3123265504837036E-2</v>
      </c>
      <c r="H186" s="40">
        <v>5.5184889591990095E-4</v>
      </c>
      <c r="I186" s="40">
        <v>1.4291879767413589</v>
      </c>
      <c r="J186" s="59">
        <v>0</v>
      </c>
      <c r="K186" s="59">
        <v>4904.1351303458214</v>
      </c>
      <c r="L186" s="59">
        <v>0</v>
      </c>
      <c r="M186" s="11">
        <v>0.84370285272598267</v>
      </c>
      <c r="N186" s="11">
        <v>0.73482483625411987</v>
      </c>
      <c r="O186" s="11">
        <v>0.29439461231231689</v>
      </c>
      <c r="Q186" s="59">
        <v>14.022062725833132</v>
      </c>
      <c r="R186" s="78">
        <v>520.88731716373104</v>
      </c>
      <c r="S186" s="78">
        <v>14.080931246904322</v>
      </c>
      <c r="T186" s="78">
        <v>599.14646284998832</v>
      </c>
      <c r="U186" s="78">
        <v>5.8868521071190116E-2</v>
      </c>
      <c r="V186" s="78">
        <v>78.259145686257284</v>
      </c>
      <c r="Y186" s="28"/>
      <c r="Z186" s="28"/>
      <c r="AK186" s="28"/>
      <c r="AS186" s="28"/>
      <c r="AT186" s="28"/>
    </row>
    <row r="187" spans="3:46" x14ac:dyDescent="0.15">
      <c r="C187" s="11">
        <v>2.8910636901855469E-3</v>
      </c>
      <c r="D187" s="11">
        <v>1.2918546795845032E-2</v>
      </c>
      <c r="E187" s="11">
        <v>0.21745290436573023</v>
      </c>
      <c r="F187" s="11">
        <v>0</v>
      </c>
      <c r="G187" s="11">
        <v>6.0711801052093506E-2</v>
      </c>
      <c r="H187" s="40">
        <v>4.2991993407218984E-4</v>
      </c>
      <c r="I187" s="40">
        <v>1.429835274297792</v>
      </c>
      <c r="J187" s="59">
        <v>0</v>
      </c>
      <c r="K187" s="59">
        <v>5350.4202514886856</v>
      </c>
      <c r="L187" s="59">
        <v>0</v>
      </c>
      <c r="M187" s="11">
        <v>0.8666304349899292</v>
      </c>
      <c r="N187" s="11">
        <v>0.74972295761108398</v>
      </c>
      <c r="O187" s="11">
        <v>0.27214515209197998</v>
      </c>
      <c r="Q187" s="59">
        <v>15.202146248127619</v>
      </c>
      <c r="R187" s="78">
        <v>512.75878602642695</v>
      </c>
      <c r="S187" s="78">
        <v>15.249986984500001</v>
      </c>
      <c r="T187" s="78">
        <v>605.15565503399296</v>
      </c>
      <c r="U187" s="78">
        <v>4.7840736372382509E-2</v>
      </c>
      <c r="V187" s="78">
        <v>92.396869007566011</v>
      </c>
      <c r="Y187" s="28"/>
      <c r="Z187" s="28"/>
      <c r="AK187" s="28"/>
      <c r="AS187" s="28"/>
      <c r="AT187" s="28"/>
    </row>
    <row r="188" spans="3:46" x14ac:dyDescent="0.15">
      <c r="C188" s="11">
        <v>1.2527242302894592E-2</v>
      </c>
      <c r="D188" s="11">
        <v>2.3021072149276733E-2</v>
      </c>
      <c r="E188" s="11">
        <v>0.57463704126781323</v>
      </c>
      <c r="F188" s="11">
        <v>0</v>
      </c>
      <c r="G188" s="11">
        <v>1.3312637805938721E-2</v>
      </c>
      <c r="H188" s="40">
        <v>4.3724450234297645E-4</v>
      </c>
      <c r="I188" s="40">
        <v>1.4615264948194411</v>
      </c>
      <c r="J188" s="59">
        <v>0</v>
      </c>
      <c r="K188" s="59">
        <v>7787.1046960353851</v>
      </c>
      <c r="L188" s="59">
        <v>0</v>
      </c>
      <c r="M188" s="11">
        <v>0.90022039413452148</v>
      </c>
      <c r="N188" s="11">
        <v>0.7513691782951355</v>
      </c>
      <c r="O188" s="11">
        <v>0.2492523193359375</v>
      </c>
      <c r="Q188" s="59">
        <v>15.626855306117001</v>
      </c>
      <c r="R188" s="78">
        <v>542.30056698853639</v>
      </c>
      <c r="S188" s="78">
        <v>15.658382573841868</v>
      </c>
      <c r="T188" s="78">
        <v>664.92268066537304</v>
      </c>
      <c r="U188" s="78">
        <v>3.1527267724866803E-2</v>
      </c>
      <c r="V188" s="78">
        <v>122.62211367683665</v>
      </c>
      <c r="Y188" s="28"/>
      <c r="Z188" s="28"/>
      <c r="AK188" s="28"/>
      <c r="AS188" s="28"/>
      <c r="AT188" s="28"/>
    </row>
    <row r="189" spans="3:46" x14ac:dyDescent="0.15">
      <c r="C189" s="11">
        <v>2.8799593448638916E-2</v>
      </c>
      <c r="D189" s="11">
        <v>1.9437238574028015E-2</v>
      </c>
      <c r="E189" s="11">
        <v>0.23139992930929898</v>
      </c>
      <c r="F189" s="11">
        <v>0</v>
      </c>
      <c r="G189" s="11">
        <v>3.1941145658493042E-2</v>
      </c>
      <c r="H189" s="40">
        <v>4.7495498525382886E-4</v>
      </c>
      <c r="I189" s="40">
        <v>1.4810155720804983</v>
      </c>
      <c r="J189" s="59">
        <v>0</v>
      </c>
      <c r="K189" s="59">
        <v>5972.3807498812675</v>
      </c>
      <c r="L189" s="59">
        <v>0</v>
      </c>
      <c r="M189" s="11">
        <v>0.80313146114349365</v>
      </c>
      <c r="N189" s="11">
        <v>0.77789968252182007</v>
      </c>
      <c r="O189" s="11">
        <v>0.30178827047348022</v>
      </c>
      <c r="Q189" s="59">
        <v>13.738802929909955</v>
      </c>
      <c r="R189" s="78">
        <v>536.92420993388589</v>
      </c>
      <c r="S189" s="78">
        <v>13.768448687968721</v>
      </c>
      <c r="T189" s="78">
        <v>612.63719334166251</v>
      </c>
      <c r="U189" s="78">
        <v>2.9645758058766347E-2</v>
      </c>
      <c r="V189" s="78">
        <v>75.712983407776619</v>
      </c>
      <c r="Y189" s="28"/>
      <c r="Z189" s="28"/>
      <c r="AK189" s="28"/>
      <c r="AS189" s="28"/>
      <c r="AT189" s="28"/>
    </row>
    <row r="190" spans="3:46" x14ac:dyDescent="0.15">
      <c r="C190" s="11">
        <v>2.7627944946289062E-2</v>
      </c>
      <c r="D190" s="11">
        <v>5.6174099445343018E-3</v>
      </c>
      <c r="E190" s="11">
        <v>0.20923179232916853</v>
      </c>
      <c r="F190" s="11">
        <v>0</v>
      </c>
      <c r="G190" s="11">
        <v>1.8435895442962646E-2</v>
      </c>
      <c r="H190" s="40">
        <v>7.831162123434881E-4</v>
      </c>
      <c r="I190" s="40">
        <v>1.3619251353900648</v>
      </c>
      <c r="J190" s="59">
        <v>0</v>
      </c>
      <c r="K190" s="59">
        <v>4057.2579018771648</v>
      </c>
      <c r="L190" s="59">
        <v>0</v>
      </c>
      <c r="M190" s="11">
        <v>0.87187758088111877</v>
      </c>
      <c r="N190" s="11">
        <v>0.7657015323638916</v>
      </c>
      <c r="O190" s="11">
        <v>0.2859872579574585</v>
      </c>
      <c r="Q190" s="59">
        <v>14.90257096564882</v>
      </c>
      <c r="R190" s="78">
        <v>498.52199039385005</v>
      </c>
      <c r="S190" s="78">
        <v>14.959503999841905</v>
      </c>
      <c r="T190" s="78">
        <v>601.29344701158846</v>
      </c>
      <c r="U190" s="78">
        <v>5.6933034193084708E-2</v>
      </c>
      <c r="V190" s="78">
        <v>102.77145661773841</v>
      </c>
      <c r="Y190" s="28"/>
      <c r="Z190" s="28"/>
      <c r="AK190" s="28"/>
      <c r="AS190" s="28"/>
      <c r="AT190" s="28"/>
    </row>
    <row r="191" spans="3:46" x14ac:dyDescent="0.15">
      <c r="C191" s="11">
        <v>3.429180383682251E-2</v>
      </c>
      <c r="D191" s="11">
        <v>4.5156598091125488E-2</v>
      </c>
      <c r="E191" s="11">
        <v>0.44737676409782751</v>
      </c>
      <c r="F191" s="11">
        <v>0</v>
      </c>
      <c r="G191" s="11">
        <v>1.9960999488830566E-2</v>
      </c>
      <c r="H191" s="40">
        <v>4.354667350329777E-4</v>
      </c>
      <c r="I191" s="40">
        <v>1.5312525263635064</v>
      </c>
      <c r="J191" s="59">
        <v>0</v>
      </c>
      <c r="K191" s="59">
        <v>3789.4607521593571</v>
      </c>
      <c r="L191" s="59">
        <v>0</v>
      </c>
      <c r="M191" s="11">
        <v>0.86732751131057739</v>
      </c>
      <c r="N191" s="11">
        <v>0.76180005073547363</v>
      </c>
      <c r="O191" s="11">
        <v>0.31413283944129944</v>
      </c>
      <c r="Q191" s="59">
        <v>14.716271936218742</v>
      </c>
      <c r="R191" s="78">
        <v>483.16082848695106</v>
      </c>
      <c r="S191" s="78">
        <v>14.759100896512194</v>
      </c>
      <c r="T191" s="78">
        <v>619.42875930602111</v>
      </c>
      <c r="U191" s="78">
        <v>4.2828960293451956E-2</v>
      </c>
      <c r="V191" s="78">
        <v>136.26793081907005</v>
      </c>
      <c r="Y191" s="28"/>
      <c r="Z191" s="28"/>
      <c r="AK191" s="28"/>
      <c r="AS191" s="28"/>
      <c r="AT191" s="28"/>
    </row>
    <row r="192" spans="3:46" x14ac:dyDescent="0.15">
      <c r="C192" s="11">
        <v>1.3993009924888611E-2</v>
      </c>
      <c r="D192" s="11">
        <v>1.0507464408874512E-2</v>
      </c>
      <c r="E192" s="11">
        <v>0.18654797069917206</v>
      </c>
      <c r="F192" s="11">
        <v>0</v>
      </c>
      <c r="G192" s="11">
        <v>2.7852773666381836E-2</v>
      </c>
      <c r="H192" s="40">
        <v>3.7777916851612777E-4</v>
      </c>
      <c r="I192" s="40">
        <v>1.3487619107266295</v>
      </c>
      <c r="J192" s="59">
        <v>0</v>
      </c>
      <c r="K192" s="59">
        <v>3768.9739838242531</v>
      </c>
      <c r="L192" s="59">
        <v>0</v>
      </c>
      <c r="M192" s="11">
        <v>0.84849420189857483</v>
      </c>
      <c r="N192" s="11">
        <v>0.665069580078125</v>
      </c>
      <c r="O192" s="11">
        <v>0.26689386367797852</v>
      </c>
      <c r="Q192" s="59">
        <v>14.727316364037835</v>
      </c>
      <c r="R192" s="78">
        <v>442.9075183770895</v>
      </c>
      <c r="S192" s="78">
        <v>14.768224881536552</v>
      </c>
      <c r="T192" s="78">
        <v>588.20671069294895</v>
      </c>
      <c r="U192" s="78">
        <v>4.09085174987176E-2</v>
      </c>
      <c r="V192" s="78">
        <v>145.29919231585944</v>
      </c>
      <c r="Y192" s="28"/>
      <c r="Z192" s="28"/>
      <c r="AK192" s="28"/>
      <c r="AS192" s="28"/>
      <c r="AT192" s="28"/>
    </row>
    <row r="193" spans="3:46" x14ac:dyDescent="0.15">
      <c r="C193" s="11">
        <v>4.7454237937927246E-3</v>
      </c>
      <c r="D193" s="11">
        <v>3.3234298229217529E-2</v>
      </c>
      <c r="E193" s="11">
        <v>0.26058161306469368</v>
      </c>
      <c r="F193" s="11">
        <v>0</v>
      </c>
      <c r="G193" s="11">
        <v>2.537873387336731E-2</v>
      </c>
      <c r="H193" s="40">
        <v>4.5525795793509169E-4</v>
      </c>
      <c r="I193" s="40">
        <v>1.4832737005552783</v>
      </c>
      <c r="J193" s="59">
        <v>0</v>
      </c>
      <c r="K193" s="59">
        <v>7364.2702773213387</v>
      </c>
      <c r="L193" s="59">
        <v>0</v>
      </c>
      <c r="M193" s="11">
        <v>0.87499576807022095</v>
      </c>
      <c r="N193" s="11">
        <v>0.76214450597763062</v>
      </c>
      <c r="O193" s="11">
        <v>0.33809220790863037</v>
      </c>
      <c r="Q193" s="59">
        <v>15.309706404928347</v>
      </c>
      <c r="R193" s="78">
        <v>561.80435382467078</v>
      </c>
      <c r="S193" s="78">
        <v>15.362974996683061</v>
      </c>
      <c r="T193" s="78">
        <v>623.42553177166963</v>
      </c>
      <c r="U193" s="78">
        <v>5.3268591754713768E-2</v>
      </c>
      <c r="V193" s="78">
        <v>61.621177946998841</v>
      </c>
      <c r="Y193" s="28"/>
      <c r="Z193" s="28"/>
      <c r="AK193" s="28"/>
      <c r="AS193" s="28"/>
      <c r="AT193" s="28"/>
    </row>
    <row r="194" spans="3:46" x14ac:dyDescent="0.15">
      <c r="C194" s="11">
        <v>1.3995751738548279E-2</v>
      </c>
      <c r="D194" s="11">
        <v>1.684221625328064E-2</v>
      </c>
      <c r="E194" s="11">
        <v>0.39135307597651453</v>
      </c>
      <c r="F194" s="11">
        <v>0</v>
      </c>
      <c r="G194" s="11">
        <v>4.2253762483596802E-2</v>
      </c>
      <c r="H194" s="40">
        <v>3.7836167325186319E-4</v>
      </c>
      <c r="I194" s="40">
        <v>1.4316754331784132</v>
      </c>
      <c r="J194" s="59">
        <v>0</v>
      </c>
      <c r="K194" s="59">
        <v>7813.0140900611877</v>
      </c>
      <c r="L194" s="59">
        <v>0</v>
      </c>
      <c r="M194" s="11">
        <v>0.86707419157028198</v>
      </c>
      <c r="N194" s="11">
        <v>0.81480240821838379</v>
      </c>
      <c r="O194" s="11">
        <v>0.25481140613555908</v>
      </c>
      <c r="Q194" s="59">
        <v>15.062910552265983</v>
      </c>
      <c r="R194" s="78">
        <v>533.10979077660591</v>
      </c>
      <c r="S194" s="78">
        <v>15.086100691788316</v>
      </c>
      <c r="T194" s="78">
        <v>633.92873059199951</v>
      </c>
      <c r="U194" s="78">
        <v>2.3190139522332842E-2</v>
      </c>
      <c r="V194" s="78">
        <v>100.81893981539361</v>
      </c>
      <c r="Y194" s="28"/>
      <c r="Z194" s="28"/>
      <c r="AK194" s="28"/>
      <c r="AS194" s="28"/>
      <c r="AT194" s="28"/>
    </row>
    <row r="195" spans="3:46" x14ac:dyDescent="0.15">
      <c r="C195" s="11">
        <v>6.8213492631912231E-3</v>
      </c>
      <c r="D195" s="11">
        <v>2.3094534873962402E-2</v>
      </c>
      <c r="E195" s="11">
        <v>0.1758954075868974</v>
      </c>
      <c r="F195" s="11">
        <v>0</v>
      </c>
      <c r="G195" s="11">
        <v>1.7034173011779785E-2</v>
      </c>
      <c r="H195" s="40">
        <v>4.1144703098952904E-4</v>
      </c>
      <c r="I195" s="40">
        <v>1.3868369362812762</v>
      </c>
      <c r="J195" s="59">
        <v>0</v>
      </c>
      <c r="K195" s="59">
        <v>3017.0567333698273</v>
      </c>
      <c r="L195" s="59">
        <v>0</v>
      </c>
      <c r="M195" s="11">
        <v>0.83555376529693604</v>
      </c>
      <c r="N195" s="11">
        <v>0.7767755389213562</v>
      </c>
      <c r="O195" s="11">
        <v>0.32298266887664795</v>
      </c>
      <c r="Q195" s="59">
        <v>14.625252153092621</v>
      </c>
      <c r="R195" s="78">
        <v>438.86470956031735</v>
      </c>
      <c r="S195" s="78">
        <v>14.652320908157444</v>
      </c>
      <c r="T195" s="78">
        <v>586.98325257991974</v>
      </c>
      <c r="U195" s="78">
        <v>2.706875506482298E-2</v>
      </c>
      <c r="V195" s="78">
        <v>148.11854301960238</v>
      </c>
      <c r="Y195" s="28"/>
      <c r="Z195" s="28"/>
      <c r="AK195" s="28"/>
      <c r="AS195" s="28"/>
      <c r="AT195" s="28"/>
    </row>
    <row r="196" spans="3:46" x14ac:dyDescent="0.15">
      <c r="C196" s="11">
        <v>1.6756176948547363E-2</v>
      </c>
      <c r="D196" s="11">
        <v>2.7709662914276123E-2</v>
      </c>
      <c r="E196" s="11">
        <v>0.30684380187597726</v>
      </c>
      <c r="F196" s="11">
        <v>0</v>
      </c>
      <c r="G196" s="11">
        <v>3.9251416921615601E-2</v>
      </c>
      <c r="H196" s="40">
        <v>3.2049745517998376E-4</v>
      </c>
      <c r="I196" s="40">
        <v>1.4213686949223767</v>
      </c>
      <c r="J196" s="59">
        <v>0</v>
      </c>
      <c r="K196" s="59">
        <v>3630.5258981883526</v>
      </c>
      <c r="L196" s="59">
        <v>0</v>
      </c>
      <c r="M196" s="11">
        <v>0.89763283729553223</v>
      </c>
      <c r="N196" s="11">
        <v>0.77770304679870605</v>
      </c>
      <c r="O196" s="11">
        <v>0.32321739196777344</v>
      </c>
      <c r="Q196" s="59">
        <v>15.54449487683552</v>
      </c>
      <c r="R196" s="78">
        <v>446.1630074741451</v>
      </c>
      <c r="S196" s="78">
        <v>15.575717375528102</v>
      </c>
      <c r="T196" s="78">
        <v>595.14001562413807</v>
      </c>
      <c r="U196" s="78">
        <v>3.1222498692581979E-2</v>
      </c>
      <c r="V196" s="78">
        <v>148.97700814999297</v>
      </c>
      <c r="Y196" s="28"/>
      <c r="Z196" s="28"/>
      <c r="AK196" s="28"/>
      <c r="AS196" s="28"/>
      <c r="AT196" s="28"/>
    </row>
    <row r="197" spans="3:46" x14ac:dyDescent="0.15">
      <c r="C197" s="11">
        <v>3.7748098373413086E-2</v>
      </c>
      <c r="D197" s="11">
        <v>1.6125142574310303E-3</v>
      </c>
      <c r="E197" s="11">
        <v>0.20893749762814107</v>
      </c>
      <c r="F197" s="11">
        <v>0</v>
      </c>
      <c r="G197" s="11">
        <v>4.6714067459106445E-2</v>
      </c>
      <c r="H197" s="40">
        <v>3.3329708099476453E-4</v>
      </c>
      <c r="I197" s="40">
        <v>1.4472049534854787</v>
      </c>
      <c r="J197" s="59">
        <v>0</v>
      </c>
      <c r="K197" s="59">
        <v>5374.1992451250553</v>
      </c>
      <c r="L197" s="59">
        <v>0</v>
      </c>
      <c r="M197" s="11">
        <v>0.83148586750030518</v>
      </c>
      <c r="N197" s="11">
        <v>0.74511921405792236</v>
      </c>
      <c r="O197" s="11">
        <v>0.28517979383468628</v>
      </c>
      <c r="Q197" s="59">
        <v>14.096066396882655</v>
      </c>
      <c r="R197" s="78">
        <v>482.51944950557157</v>
      </c>
      <c r="S197" s="78">
        <v>14.124875144990037</v>
      </c>
      <c r="T197" s="78">
        <v>597.69484774046452</v>
      </c>
      <c r="U197" s="78">
        <v>2.8808748107381987E-2</v>
      </c>
      <c r="V197" s="78">
        <v>115.17539823489295</v>
      </c>
      <c r="Y197" s="28"/>
      <c r="Z197" s="28"/>
      <c r="AK197" s="28"/>
      <c r="AS197" s="28"/>
      <c r="AT197" s="28"/>
    </row>
    <row r="198" spans="3:46" x14ac:dyDescent="0.15">
      <c r="C198" s="11">
        <v>9.6769183874130249E-3</v>
      </c>
      <c r="D198" s="11">
        <v>7.8032314777374268E-3</v>
      </c>
      <c r="E198" s="11">
        <v>0.25037254587483765</v>
      </c>
      <c r="F198" s="11">
        <v>0</v>
      </c>
      <c r="G198" s="11">
        <v>2.9339820146560669E-2</v>
      </c>
      <c r="H198" s="40">
        <v>4.1248049002435704E-4</v>
      </c>
      <c r="I198" s="40">
        <v>1.5612516487146793</v>
      </c>
      <c r="J198" s="59">
        <v>0</v>
      </c>
      <c r="K198" s="59">
        <v>6099.2781072854996</v>
      </c>
      <c r="L198" s="59">
        <v>0</v>
      </c>
      <c r="M198" s="11">
        <v>0.87832874059677124</v>
      </c>
      <c r="N198" s="11">
        <v>0.73287093639373779</v>
      </c>
      <c r="O198" s="11">
        <v>0.34089362621307373</v>
      </c>
      <c r="Q198" s="59">
        <v>15.278059552832218</v>
      </c>
      <c r="R198" s="78">
        <v>555.309927597213</v>
      </c>
      <c r="S198" s="78">
        <v>15.342230145008028</v>
      </c>
      <c r="T198" s="78">
        <v>620.1626634939015</v>
      </c>
      <c r="U198" s="78">
        <v>6.417059217580956E-2</v>
      </c>
      <c r="V198" s="78">
        <v>64.8527358966885</v>
      </c>
      <c r="Y198" s="28"/>
      <c r="Z198" s="28"/>
      <c r="AK198" s="28"/>
      <c r="AS198" s="28"/>
      <c r="AT198" s="28"/>
    </row>
    <row r="199" spans="3:46" x14ac:dyDescent="0.15">
      <c r="C199" s="11">
        <v>1.4372825622558594E-2</v>
      </c>
      <c r="D199" s="11">
        <v>2.6469439268112183E-2</v>
      </c>
      <c r="E199" s="11">
        <v>0.31811015327362102</v>
      </c>
      <c r="F199" s="11">
        <v>0</v>
      </c>
      <c r="G199" s="11">
        <v>4.4810324907302856E-2</v>
      </c>
      <c r="H199" s="40">
        <v>6.2704462764906987E-4</v>
      </c>
      <c r="I199" s="40">
        <v>1.3359807218410065</v>
      </c>
      <c r="J199" s="59">
        <v>0</v>
      </c>
      <c r="K199" s="59">
        <v>5158.0579020082951</v>
      </c>
      <c r="L199" s="59">
        <v>0</v>
      </c>
      <c r="M199" s="11">
        <v>0.85020869970321655</v>
      </c>
      <c r="N199" s="11">
        <v>0.69542181491851807</v>
      </c>
      <c r="O199" s="11">
        <v>0.30235534906387329</v>
      </c>
      <c r="Q199" s="59">
        <v>14.72508087514943</v>
      </c>
      <c r="R199" s="78">
        <v>509.82220398278139</v>
      </c>
      <c r="S199" s="78">
        <v>14.777121090579593</v>
      </c>
      <c r="T199" s="78">
        <v>616.28268575602794</v>
      </c>
      <c r="U199" s="78">
        <v>5.2040215430162462E-2</v>
      </c>
      <c r="V199" s="78">
        <v>106.46048177324656</v>
      </c>
      <c r="Y199" s="28"/>
      <c r="Z199" s="28"/>
      <c r="AK199" s="28"/>
      <c r="AS199" s="28"/>
      <c r="AT199" s="28"/>
    </row>
    <row r="200" spans="3:46" x14ac:dyDescent="0.15">
      <c r="C200" s="11">
        <v>9.4449520111083984E-3</v>
      </c>
      <c r="D200" s="11">
        <v>8.3086192607879639E-3</v>
      </c>
      <c r="E200" s="11">
        <v>0.1290115541648276</v>
      </c>
      <c r="F200" s="11">
        <v>0</v>
      </c>
      <c r="G200" s="11">
        <v>5.4325878620147705E-2</v>
      </c>
      <c r="H200" s="40">
        <v>5.8790896199759871E-4</v>
      </c>
      <c r="I200" s="40">
        <v>1.4905422845742515</v>
      </c>
      <c r="J200" s="59">
        <v>0</v>
      </c>
      <c r="K200" s="59">
        <v>6068.9751990139484</v>
      </c>
      <c r="L200" s="59">
        <v>0</v>
      </c>
      <c r="M200" s="11">
        <v>0.90574288368225098</v>
      </c>
      <c r="N200" s="11">
        <v>0.74393695592880249</v>
      </c>
      <c r="O200" s="11">
        <v>0.3146166205406189</v>
      </c>
      <c r="Q200" s="59">
        <v>15.733234635166362</v>
      </c>
      <c r="R200" s="78">
        <v>604.2587481589793</v>
      </c>
      <c r="S200" s="78">
        <v>15.832389139639865</v>
      </c>
      <c r="T200" s="78">
        <v>606.78397650344607</v>
      </c>
      <c r="U200" s="78">
        <v>9.915450447350338E-2</v>
      </c>
      <c r="V200" s="78">
        <v>2.5252283444667682</v>
      </c>
      <c r="Y200" s="28"/>
      <c r="Z200" s="28"/>
      <c r="AK200" s="28"/>
      <c r="AS200" s="28"/>
      <c r="AT200" s="28"/>
    </row>
    <row r="201" spans="3:46" x14ac:dyDescent="0.15">
      <c r="C201" s="11">
        <v>1.4632254838943481E-2</v>
      </c>
      <c r="D201" s="11">
        <v>3.3757865428924561E-2</v>
      </c>
      <c r="E201" s="11">
        <v>0.32963104835798052</v>
      </c>
      <c r="F201" s="11">
        <v>0</v>
      </c>
      <c r="G201" s="11">
        <v>2.9569819569587708E-2</v>
      </c>
      <c r="H201" s="40">
        <v>4.688417289637031E-4</v>
      </c>
      <c r="I201" s="40">
        <v>1.4256719122545169</v>
      </c>
      <c r="J201" s="59">
        <v>0</v>
      </c>
      <c r="K201" s="59">
        <v>5139.6177150309086</v>
      </c>
      <c r="L201" s="59">
        <v>0</v>
      </c>
      <c r="M201" s="11">
        <v>0.81279432773590088</v>
      </c>
      <c r="N201" s="11">
        <v>0.78085458278656006</v>
      </c>
      <c r="O201" s="11">
        <v>0.29542461037635803</v>
      </c>
      <c r="Q201" s="59">
        <v>14.107535102356911</v>
      </c>
      <c r="R201" s="78">
        <v>497.46309659126132</v>
      </c>
      <c r="S201" s="78">
        <v>14.133658063216277</v>
      </c>
      <c r="T201" s="78">
        <v>613.51847892147669</v>
      </c>
      <c r="U201" s="78">
        <v>2.6122960859366273E-2</v>
      </c>
      <c r="V201" s="78">
        <v>116.05538233021537</v>
      </c>
      <c r="Y201" s="28"/>
      <c r="Z201" s="28"/>
      <c r="AK201" s="28"/>
      <c r="AS201" s="28"/>
      <c r="AT201" s="28"/>
    </row>
    <row r="202" spans="3:46" x14ac:dyDescent="0.15">
      <c r="C202" s="11">
        <v>2.4821490049362183E-2</v>
      </c>
      <c r="D202" s="11">
        <v>1.1191219091415405E-2</v>
      </c>
      <c r="E202" s="11">
        <v>0.34661112059638177</v>
      </c>
      <c r="F202" s="11">
        <v>0</v>
      </c>
      <c r="G202" s="11">
        <v>2.2675901651382446E-2</v>
      </c>
      <c r="H202" s="40">
        <v>4.8197746428336579E-4</v>
      </c>
      <c r="I202" s="40">
        <v>1.4206476723472758</v>
      </c>
      <c r="J202" s="59">
        <v>0</v>
      </c>
      <c r="K202" s="59">
        <v>5522.887222468853</v>
      </c>
      <c r="L202" s="59">
        <v>0</v>
      </c>
      <c r="M202" s="11">
        <v>0.88522106409072876</v>
      </c>
      <c r="N202" s="11">
        <v>0.70389938354492188</v>
      </c>
      <c r="O202" s="11">
        <v>0.28843104839324951</v>
      </c>
      <c r="Q202" s="59">
        <v>15.170064967367587</v>
      </c>
      <c r="R202" s="78">
        <v>501.63362743209461</v>
      </c>
      <c r="S202" s="78">
        <v>15.220661308908277</v>
      </c>
      <c r="T202" s="78">
        <v>616.7556469271442</v>
      </c>
      <c r="U202" s="78">
        <v>5.0596341540689593E-2</v>
      </c>
      <c r="V202" s="78">
        <v>115.12201949504959</v>
      </c>
      <c r="Y202" s="28"/>
      <c r="Z202" s="28"/>
      <c r="AK202" s="28"/>
      <c r="AS202" s="28"/>
      <c r="AT202" s="28"/>
    </row>
    <row r="203" spans="3:46" x14ac:dyDescent="0.15">
      <c r="C203" s="11">
        <v>2.3527324199676514E-2</v>
      </c>
      <c r="D203" s="11">
        <v>3.5607218742370605E-2</v>
      </c>
      <c r="E203" s="11">
        <v>0.23053161841854461</v>
      </c>
      <c r="F203" s="11">
        <v>0</v>
      </c>
      <c r="G203" s="11">
        <v>3.6860942840576172E-2</v>
      </c>
      <c r="H203" s="40">
        <v>2.8791775934533135E-4</v>
      </c>
      <c r="I203" s="40">
        <v>1.6080707894736599</v>
      </c>
      <c r="J203" s="59">
        <v>0</v>
      </c>
      <c r="K203" s="59">
        <v>6489.2508089542389</v>
      </c>
      <c r="L203" s="59">
        <v>0</v>
      </c>
      <c r="M203" s="11">
        <v>0.86758869886398315</v>
      </c>
      <c r="N203" s="11">
        <v>0.76437634229660034</v>
      </c>
      <c r="O203" s="11">
        <v>0.3153497576713562</v>
      </c>
      <c r="Q203" s="59">
        <v>14.897947441201161</v>
      </c>
      <c r="R203" s="78">
        <v>534.81985798392441</v>
      </c>
      <c r="S203" s="78">
        <v>14.948617113098514</v>
      </c>
      <c r="T203" s="78">
        <v>611.98715599508705</v>
      </c>
      <c r="U203" s="78">
        <v>5.0669671897352941E-2</v>
      </c>
      <c r="V203" s="78">
        <v>77.167298011162643</v>
      </c>
      <c r="Y203" s="28"/>
      <c r="Z203" s="28"/>
      <c r="AK203" s="28"/>
      <c r="AS203" s="28"/>
      <c r="AT203" s="28"/>
    </row>
    <row r="204" spans="3:46" x14ac:dyDescent="0.15">
      <c r="C204" s="11">
        <v>1.2603580951690674E-2</v>
      </c>
      <c r="D204" s="11">
        <v>3.7486106157302856E-3</v>
      </c>
      <c r="E204" s="11">
        <v>0.20495677115231045</v>
      </c>
      <c r="F204" s="11">
        <v>0</v>
      </c>
      <c r="G204" s="11">
        <v>1.4509886503219604E-2</v>
      </c>
      <c r="H204" s="40">
        <v>5.0674437671324117E-4</v>
      </c>
      <c r="I204" s="40">
        <v>1.3548781215867838</v>
      </c>
      <c r="J204" s="59">
        <v>0</v>
      </c>
      <c r="K204" s="59">
        <v>7098.0237796902657</v>
      </c>
      <c r="L204" s="59">
        <v>0</v>
      </c>
      <c r="M204" s="11">
        <v>0.84015956521034241</v>
      </c>
      <c r="N204" s="11">
        <v>0.75197780132293701</v>
      </c>
      <c r="O204" s="11">
        <v>0.33125883340835571</v>
      </c>
      <c r="Q204" s="59">
        <v>14.614062366897869</v>
      </c>
      <c r="R204" s="78">
        <v>509.878512093491</v>
      </c>
      <c r="S204" s="78">
        <v>14.645051952904163</v>
      </c>
      <c r="T204" s="78">
        <v>603.0442461099118</v>
      </c>
      <c r="U204" s="78">
        <v>3.098958600629409E-2</v>
      </c>
      <c r="V204" s="78">
        <v>93.165734016420799</v>
      </c>
      <c r="Y204" s="28"/>
      <c r="Z204" s="28"/>
      <c r="AK204" s="28"/>
      <c r="AS204" s="28"/>
      <c r="AT204" s="28"/>
    </row>
    <row r="205" spans="3:46" x14ac:dyDescent="0.15">
      <c r="C205" s="11">
        <v>1.8558651208877563E-2</v>
      </c>
      <c r="D205" s="11">
        <v>1.647651195526123E-3</v>
      </c>
      <c r="E205" s="11">
        <v>0.23511316958281098</v>
      </c>
      <c r="F205" s="11">
        <v>0</v>
      </c>
      <c r="G205" s="11">
        <v>3.0478745698928833E-2</v>
      </c>
      <c r="H205" s="40">
        <v>4.5200997354354771E-4</v>
      </c>
      <c r="I205" s="40">
        <v>1.3327516225495752</v>
      </c>
      <c r="J205" s="59">
        <v>0</v>
      </c>
      <c r="K205" s="59">
        <v>4959.9306657910347</v>
      </c>
      <c r="L205" s="59">
        <v>0</v>
      </c>
      <c r="M205" s="11">
        <v>0.88091820478439331</v>
      </c>
      <c r="N205" s="11">
        <v>0.75539952516555786</v>
      </c>
      <c r="O205" s="11">
        <v>0.28698122501373291</v>
      </c>
      <c r="Q205" s="59">
        <v>15.227512773523911</v>
      </c>
      <c r="R205" s="78">
        <v>468.26072829049315</v>
      </c>
      <c r="S205" s="78">
        <v>15.260960851687543</v>
      </c>
      <c r="T205" s="78">
        <v>596.62826601103393</v>
      </c>
      <c r="U205" s="78">
        <v>3.3448078163631934E-2</v>
      </c>
      <c r="V205" s="78">
        <v>128.36753772054078</v>
      </c>
      <c r="Y205" s="28"/>
      <c r="Z205" s="28"/>
      <c r="AK205" s="28"/>
      <c r="AS205" s="28"/>
      <c r="AT205" s="28"/>
    </row>
    <row r="206" spans="3:46" x14ac:dyDescent="0.15">
      <c r="C206" s="11">
        <v>8.1253498792648315E-3</v>
      </c>
      <c r="D206" s="11">
        <v>1.0935798287391663E-2</v>
      </c>
      <c r="E206" s="11">
        <v>0.2246801170692149</v>
      </c>
      <c r="F206" s="11">
        <v>0</v>
      </c>
      <c r="G206" s="11">
        <v>3.5439997911453247E-2</v>
      </c>
      <c r="H206" s="40">
        <v>4.877209032726428E-4</v>
      </c>
      <c r="I206" s="40">
        <v>1.4237328638335169</v>
      </c>
      <c r="J206" s="59">
        <v>0</v>
      </c>
      <c r="K206" s="59">
        <v>4976.6129814088345</v>
      </c>
      <c r="L206" s="59">
        <v>0</v>
      </c>
      <c r="M206" s="11">
        <v>0.76006507873535156</v>
      </c>
      <c r="N206" s="11">
        <v>0.70444595813751221</v>
      </c>
      <c r="O206" s="11">
        <v>0.32405436038970947</v>
      </c>
      <c r="Q206" s="59">
        <v>13.278144475193901</v>
      </c>
      <c r="R206" s="78">
        <v>502.13689640278136</v>
      </c>
      <c r="S206" s="78">
        <v>13.307644024427907</v>
      </c>
      <c r="T206" s="78">
        <v>603.64662727992959</v>
      </c>
      <c r="U206" s="78">
        <v>2.9499549234005329E-2</v>
      </c>
      <c r="V206" s="78">
        <v>101.50973087714823</v>
      </c>
      <c r="Y206" s="28"/>
      <c r="Z206" s="28"/>
      <c r="AK206" s="28"/>
      <c r="AS206" s="28"/>
      <c r="AT206" s="28"/>
    </row>
    <row r="207" spans="3:46" x14ac:dyDescent="0.15">
      <c r="C207" s="11">
        <v>4.0579140186309814E-2</v>
      </c>
      <c r="D207" s="11">
        <v>1.0620221495628357E-2</v>
      </c>
      <c r="E207" s="11">
        <v>0.23985227455532745</v>
      </c>
      <c r="F207" s="11">
        <v>0</v>
      </c>
      <c r="G207" s="11">
        <v>8.3647966384887695E-2</v>
      </c>
      <c r="H207" s="40">
        <v>3.894764110064571E-4</v>
      </c>
      <c r="I207" s="40">
        <v>1.4923566368396652</v>
      </c>
      <c r="J207" s="59">
        <v>0</v>
      </c>
      <c r="K207" s="59">
        <v>5870.5569244921207</v>
      </c>
      <c r="L207" s="59">
        <v>0</v>
      </c>
      <c r="M207" s="11">
        <v>0.8829728364944458</v>
      </c>
      <c r="N207" s="11">
        <v>0.75651514530181885</v>
      </c>
      <c r="O207" s="11">
        <v>0.3351941704750061</v>
      </c>
      <c r="Q207" s="59">
        <v>14.896567013581468</v>
      </c>
      <c r="R207" s="78">
        <v>543.76086851606271</v>
      </c>
      <c r="S207" s="78">
        <v>14.947234372484372</v>
      </c>
      <c r="T207" s="78">
        <v>615.41643073490661</v>
      </c>
      <c r="U207" s="78">
        <v>5.0667358902904525E-2</v>
      </c>
      <c r="V207" s="78">
        <v>71.655562218843897</v>
      </c>
      <c r="Y207" s="28"/>
      <c r="Z207" s="28"/>
      <c r="AK207" s="28"/>
      <c r="AS207" s="28"/>
      <c r="AT207" s="28"/>
    </row>
    <row r="208" spans="3:46" x14ac:dyDescent="0.15">
      <c r="C208" s="11">
        <v>1.0208398103713989E-2</v>
      </c>
      <c r="D208" s="11">
        <v>2.5128871202468872E-2</v>
      </c>
      <c r="E208" s="11">
        <v>0.27041322874423968</v>
      </c>
      <c r="F208" s="11">
        <v>0</v>
      </c>
      <c r="G208" s="11">
        <v>4.9212932586669922E-2</v>
      </c>
      <c r="H208" s="40">
        <v>5.5333993202294073E-4</v>
      </c>
      <c r="I208" s="40">
        <v>1.4891959218871957</v>
      </c>
      <c r="J208" s="59">
        <v>0</v>
      </c>
      <c r="K208" s="59">
        <v>7490.3108179569244</v>
      </c>
      <c r="L208" s="59">
        <v>0</v>
      </c>
      <c r="M208" s="11">
        <v>0.8517909049987793</v>
      </c>
      <c r="N208" s="11">
        <v>0.73350971937179565</v>
      </c>
      <c r="O208" s="11">
        <v>0.33902311325073242</v>
      </c>
      <c r="Q208" s="59">
        <v>14.801201337680959</v>
      </c>
      <c r="R208" s="78">
        <v>630.37865913245184</v>
      </c>
      <c r="S208" s="78">
        <v>14.866964900836189</v>
      </c>
      <c r="T208" s="78">
        <v>644.13942851744366</v>
      </c>
      <c r="U208" s="78">
        <v>6.5763563155229576E-2</v>
      </c>
      <c r="V208" s="78">
        <v>13.760769384991818</v>
      </c>
      <c r="Y208" s="28"/>
      <c r="Z208" s="28"/>
      <c r="AK208" s="28"/>
      <c r="AS208" s="28"/>
      <c r="AT208" s="28"/>
    </row>
    <row r="209" spans="3:46" x14ac:dyDescent="0.15">
      <c r="C209" s="11">
        <v>1.1453181505203247E-2</v>
      </c>
      <c r="D209" s="11">
        <v>7.9468786716461182E-3</v>
      </c>
      <c r="E209" s="11">
        <v>0.26468000520199381</v>
      </c>
      <c r="F209" s="11">
        <v>0</v>
      </c>
      <c r="G209" s="11">
        <v>4.8049390316009521E-2</v>
      </c>
      <c r="H209" s="40">
        <v>4.6277280329076558E-4</v>
      </c>
      <c r="I209" s="40">
        <v>1.4357158278298146</v>
      </c>
      <c r="J209" s="59">
        <v>0</v>
      </c>
      <c r="K209" s="59">
        <v>4449.7218914330006</v>
      </c>
      <c r="L209" s="59">
        <v>0</v>
      </c>
      <c r="M209" s="11">
        <v>0.86093497276306152</v>
      </c>
      <c r="N209" s="11">
        <v>0.75584733486175537</v>
      </c>
      <c r="O209" s="11">
        <v>0.28816688060760498</v>
      </c>
      <c r="Q209" s="59">
        <v>14.974199236570426</v>
      </c>
      <c r="R209" s="78">
        <v>495.09242337530497</v>
      </c>
      <c r="S209" s="78">
        <v>15.017207492710861</v>
      </c>
      <c r="T209" s="78">
        <v>606.11467123281943</v>
      </c>
      <c r="U209" s="78">
        <v>4.3008256140435464E-2</v>
      </c>
      <c r="V209" s="78">
        <v>111.02224785751446</v>
      </c>
      <c r="Y209" s="28"/>
      <c r="Z209" s="28"/>
      <c r="AK209" s="28"/>
      <c r="AS209" s="28"/>
      <c r="AT209" s="28"/>
    </row>
    <row r="210" spans="3:46" x14ac:dyDescent="0.15">
      <c r="C210" s="11">
        <v>2.1789908409118652E-2</v>
      </c>
      <c r="D210" s="11">
        <v>2.1247193217277527E-2</v>
      </c>
      <c r="E210" s="11">
        <v>0.27626613509645875</v>
      </c>
      <c r="F210" s="11">
        <v>0</v>
      </c>
      <c r="G210" s="11">
        <v>3.1595826148986816E-2</v>
      </c>
      <c r="H210" s="40">
        <v>4.0061388376491896E-4</v>
      </c>
      <c r="I210" s="40">
        <v>1.4668647913178103</v>
      </c>
      <c r="J210" s="59">
        <v>0</v>
      </c>
      <c r="K210" s="59">
        <v>5053.600762039423</v>
      </c>
      <c r="L210" s="59">
        <v>0</v>
      </c>
      <c r="M210" s="11">
        <v>0.85681712627410889</v>
      </c>
      <c r="N210" s="11">
        <v>0.76622211933135986</v>
      </c>
      <c r="O210" s="11">
        <v>0.30224353075027466</v>
      </c>
      <c r="Q210" s="59">
        <v>14.752469262442313</v>
      </c>
      <c r="R210" s="78">
        <v>492.75960728629013</v>
      </c>
      <c r="S210" s="78">
        <v>14.79003744987863</v>
      </c>
      <c r="T210" s="78">
        <v>606.63609537152763</v>
      </c>
      <c r="U210" s="78">
        <v>3.7568187436317402E-2</v>
      </c>
      <c r="V210" s="78">
        <v>113.8764880852375</v>
      </c>
      <c r="Y210" s="28"/>
      <c r="Z210" s="28"/>
      <c r="AK210" s="28"/>
      <c r="AS210" s="28"/>
      <c r="AT210" s="28"/>
    </row>
    <row r="211" spans="3:46" x14ac:dyDescent="0.15">
      <c r="C211" s="11">
        <v>9.1345012187957764E-3</v>
      </c>
      <c r="D211" s="11">
        <v>1.8212944269180298E-2</v>
      </c>
      <c r="E211" s="11">
        <v>0.42690306483966256</v>
      </c>
      <c r="F211" s="11">
        <v>0</v>
      </c>
      <c r="G211" s="11">
        <v>4.8779994249343872E-2</v>
      </c>
      <c r="H211" s="40">
        <v>3.0734395829024226E-4</v>
      </c>
      <c r="I211" s="40">
        <v>1.4661975664745734</v>
      </c>
      <c r="J211" s="59">
        <v>0</v>
      </c>
      <c r="K211" s="59">
        <v>4110.368900001049</v>
      </c>
      <c r="L211" s="59">
        <v>0</v>
      </c>
      <c r="M211" s="11">
        <v>0.89860308170318604</v>
      </c>
      <c r="N211" s="11">
        <v>0.71793866157531738</v>
      </c>
      <c r="O211" s="11">
        <v>0.30414500832557678</v>
      </c>
      <c r="Q211" s="59">
        <v>15.665435405598805</v>
      </c>
      <c r="R211" s="78">
        <v>462.29655973004964</v>
      </c>
      <c r="S211" s="78">
        <v>15.700804243654336</v>
      </c>
      <c r="T211" s="78">
        <v>608.38009276498201</v>
      </c>
      <c r="U211" s="78">
        <v>3.5368838055530816E-2</v>
      </c>
      <c r="V211" s="78">
        <v>146.08353303493237</v>
      </c>
      <c r="Y211" s="28"/>
      <c r="Z211" s="28"/>
      <c r="AK211" s="28"/>
      <c r="AS211" s="28"/>
      <c r="AT211" s="28"/>
    </row>
    <row r="212" spans="3:46" x14ac:dyDescent="0.15">
      <c r="C212" s="11">
        <v>2.8394222259521484E-2</v>
      </c>
      <c r="D212" s="11">
        <v>2.6713937520980835E-2</v>
      </c>
      <c r="E212" s="11">
        <v>0.12555322434999688</v>
      </c>
      <c r="F212" s="11">
        <v>0</v>
      </c>
      <c r="G212" s="11">
        <v>2.185097336769104E-2</v>
      </c>
      <c r="H212" s="40">
        <v>4.2596535631678927E-4</v>
      </c>
      <c r="I212" s="40">
        <v>1.4715953943860662</v>
      </c>
      <c r="J212" s="59">
        <v>0</v>
      </c>
      <c r="K212" s="59">
        <v>3236.8116080760956</v>
      </c>
      <c r="L212" s="59">
        <v>0</v>
      </c>
      <c r="M212" s="11">
        <v>0.84603151679039001</v>
      </c>
      <c r="N212" s="11">
        <v>0.76883435249328613</v>
      </c>
      <c r="O212" s="11">
        <v>0.28526616096496582</v>
      </c>
      <c r="Q212" s="59">
        <v>14.467591966907277</v>
      </c>
      <c r="R212" s="78">
        <v>458.01351810596202</v>
      </c>
      <c r="S212" s="78">
        <v>14.512959378825219</v>
      </c>
      <c r="T212" s="78">
        <v>587.17445669577069</v>
      </c>
      <c r="U212" s="78">
        <v>4.5367411917942135E-2</v>
      </c>
      <c r="V212" s="78">
        <v>129.16093858980867</v>
      </c>
      <c r="Y212" s="28"/>
      <c r="Z212" s="28"/>
      <c r="AK212" s="28"/>
      <c r="AS212" s="28"/>
      <c r="AT212" s="28"/>
    </row>
    <row r="213" spans="3:46" x14ac:dyDescent="0.15">
      <c r="C213" s="11">
        <v>6.0994327068328857E-3</v>
      </c>
      <c r="D213" s="11">
        <v>2.0689994096755981E-2</v>
      </c>
      <c r="E213" s="11">
        <v>0.26663449706682418</v>
      </c>
      <c r="F213" s="11">
        <v>0</v>
      </c>
      <c r="G213" s="11">
        <v>4.0204554796218872E-2</v>
      </c>
      <c r="H213" s="40">
        <v>4.9115307582116893E-4</v>
      </c>
      <c r="I213" s="40">
        <v>1.3752643058581193</v>
      </c>
      <c r="J213" s="59">
        <v>0</v>
      </c>
      <c r="K213" s="59">
        <v>8227.7320325374603</v>
      </c>
      <c r="L213" s="59">
        <v>0</v>
      </c>
      <c r="M213" s="11">
        <v>0.83487647771835327</v>
      </c>
      <c r="N213" s="11">
        <v>0.77982634305953979</v>
      </c>
      <c r="O213" s="11">
        <v>0.33893954753875732</v>
      </c>
      <c r="Q213" s="59">
        <v>14.61793226638769</v>
      </c>
      <c r="R213" s="78">
        <v>554.49525604775681</v>
      </c>
      <c r="S213" s="78">
        <v>14.646410477194523</v>
      </c>
      <c r="T213" s="78">
        <v>622.287865565993</v>
      </c>
      <c r="U213" s="78">
        <v>2.8478210806833104E-2</v>
      </c>
      <c r="V213" s="78">
        <v>67.792609518236191</v>
      </c>
      <c r="Y213" s="28"/>
      <c r="Z213" s="28"/>
      <c r="AK213" s="28"/>
      <c r="AS213" s="28"/>
      <c r="AT213" s="28"/>
    </row>
    <row r="214" spans="3:46" x14ac:dyDescent="0.15">
      <c r="C214" s="11">
        <v>3.7888944149017334E-2</v>
      </c>
      <c r="D214" s="11">
        <v>1.846681535243988E-2</v>
      </c>
      <c r="E214" s="11">
        <v>0.23917803576399616</v>
      </c>
      <c r="F214" s="11">
        <v>0</v>
      </c>
      <c r="G214" s="11">
        <v>3.8604080677032471E-2</v>
      </c>
      <c r="H214" s="40">
        <v>2.8922042098363784E-4</v>
      </c>
      <c r="I214" s="40">
        <v>1.605448324928459</v>
      </c>
      <c r="J214" s="59">
        <v>0</v>
      </c>
      <c r="K214" s="59">
        <v>4084.5549665391445</v>
      </c>
      <c r="L214" s="59">
        <v>0</v>
      </c>
      <c r="M214" s="11">
        <v>0.82204246520996094</v>
      </c>
      <c r="N214" s="11">
        <v>0.77693039178848267</v>
      </c>
      <c r="O214" s="11">
        <v>0.29012119770050049</v>
      </c>
      <c r="Q214" s="59">
        <v>13.927676865735721</v>
      </c>
      <c r="R214" s="78">
        <v>482.20269840290428</v>
      </c>
      <c r="S214" s="78">
        <v>13.959723232313621</v>
      </c>
      <c r="T214" s="78">
        <v>600.43014769071226</v>
      </c>
      <c r="U214" s="78">
        <v>3.2046366577899832E-2</v>
      </c>
      <c r="V214" s="78">
        <v>118.22744928780799</v>
      </c>
      <c r="Y214" s="28"/>
      <c r="Z214" s="28"/>
      <c r="AK214" s="28"/>
      <c r="AS214" s="28"/>
      <c r="AT214" s="28"/>
    </row>
    <row r="215" spans="3:46" x14ac:dyDescent="0.15">
      <c r="C215" s="11">
        <v>3.0931442975997925E-2</v>
      </c>
      <c r="D215" s="11">
        <v>3.3579766750335693E-2</v>
      </c>
      <c r="E215" s="11">
        <v>0.24108134335019238</v>
      </c>
      <c r="F215" s="11">
        <v>0</v>
      </c>
      <c r="G215" s="11">
        <v>2.4038195610046387E-2</v>
      </c>
      <c r="H215" s="40">
        <v>6.3957178407840498E-4</v>
      </c>
      <c r="I215" s="40">
        <v>1.3489391616191648</v>
      </c>
      <c r="J215" s="59">
        <v>0</v>
      </c>
      <c r="K215" s="59">
        <v>4613.5042794048786</v>
      </c>
      <c r="L215" s="59">
        <v>0</v>
      </c>
      <c r="M215" s="11">
        <v>0.85748705267906189</v>
      </c>
      <c r="N215" s="11">
        <v>0.70290935039520264</v>
      </c>
      <c r="O215" s="11">
        <v>0.25914788246154785</v>
      </c>
      <c r="Q215" s="59">
        <v>14.597059350808534</v>
      </c>
      <c r="R215" s="78">
        <v>490.3595130916712</v>
      </c>
      <c r="S215" s="78">
        <v>14.658015390315995</v>
      </c>
      <c r="T215" s="78">
        <v>602.56605314509022</v>
      </c>
      <c r="U215" s="78">
        <v>6.0956039507461313E-2</v>
      </c>
      <c r="V215" s="78">
        <v>112.20654005341902</v>
      </c>
      <c r="Y215" s="28"/>
      <c r="Z215" s="28"/>
      <c r="AK215" s="28"/>
      <c r="AS215" s="28"/>
      <c r="AT215" s="28"/>
    </row>
    <row r="216" spans="3:46" x14ac:dyDescent="0.15">
      <c r="C216" s="11">
        <v>1.232147216796875E-3</v>
      </c>
      <c r="D216" s="11">
        <v>6.481364369392395E-3</v>
      </c>
      <c r="E216" s="11">
        <v>0.15894989201028184</v>
      </c>
      <c r="F216" s="11">
        <v>0</v>
      </c>
      <c r="G216" s="11">
        <v>2.2016435861587524E-2</v>
      </c>
      <c r="H216" s="40">
        <v>3.7005683398665383E-4</v>
      </c>
      <c r="I216" s="40">
        <v>1.4169904824590791</v>
      </c>
      <c r="J216" s="59">
        <v>0</v>
      </c>
      <c r="K216" s="59">
        <v>5023.8985568284988</v>
      </c>
      <c r="L216" s="59">
        <v>0</v>
      </c>
      <c r="M216" s="11">
        <v>0.88887643814086914</v>
      </c>
      <c r="N216" s="11">
        <v>0.79550063610076904</v>
      </c>
      <c r="O216" s="11">
        <v>0.24379134178161621</v>
      </c>
      <c r="Q216" s="59">
        <v>15.639891788975431</v>
      </c>
      <c r="R216" s="78">
        <v>470.26440581489004</v>
      </c>
      <c r="S216" s="78">
        <v>15.674704965236362</v>
      </c>
      <c r="T216" s="78">
        <v>591.26506561621204</v>
      </c>
      <c r="U216" s="78">
        <v>3.4813176260930945E-2</v>
      </c>
      <c r="V216" s="78">
        <v>121.000659801322</v>
      </c>
      <c r="Y216" s="28"/>
      <c r="Z216" s="28"/>
      <c r="AK216" s="28"/>
      <c r="AS216" s="28"/>
      <c r="AT216" s="28"/>
    </row>
    <row r="217" spans="3:46" x14ac:dyDescent="0.15">
      <c r="C217" s="11">
        <v>4.634249210357666E-2</v>
      </c>
      <c r="D217" s="11">
        <v>8.7625086307525635E-3</v>
      </c>
      <c r="E217" s="11">
        <v>0.354665417668238</v>
      </c>
      <c r="F217" s="11">
        <v>0</v>
      </c>
      <c r="G217" s="11">
        <v>2.8775423765182495E-2</v>
      </c>
      <c r="H217" s="40">
        <v>5.0667293904295852E-4</v>
      </c>
      <c r="I217" s="40">
        <v>1.3744434384792747</v>
      </c>
      <c r="J217" s="59">
        <v>0</v>
      </c>
      <c r="K217" s="59">
        <v>4725.0301577150822</v>
      </c>
      <c r="L217" s="59">
        <v>0</v>
      </c>
      <c r="M217" s="11">
        <v>0.83627438545227051</v>
      </c>
      <c r="N217" s="11">
        <v>0.73048222064971924</v>
      </c>
      <c r="O217" s="11">
        <v>0.3428654670715332</v>
      </c>
      <c r="Q217" s="59">
        <v>14.040175794665597</v>
      </c>
      <c r="R217" s="78">
        <v>479.79714541222404</v>
      </c>
      <c r="S217" s="78">
        <v>14.070221560204576</v>
      </c>
      <c r="T217" s="78">
        <v>609.75049722601648</v>
      </c>
      <c r="U217" s="78">
        <v>3.0045765538979197E-2</v>
      </c>
      <c r="V217" s="78">
        <v>129.95335181379244</v>
      </c>
      <c r="Y217" s="28"/>
      <c r="Z217" s="28"/>
      <c r="AK217" s="28"/>
      <c r="AS217" s="28"/>
      <c r="AT217" s="28"/>
    </row>
    <row r="218" spans="3:46" x14ac:dyDescent="0.15">
      <c r="C218" s="11">
        <v>1.0113418102264404E-2</v>
      </c>
      <c r="D218" s="11">
        <v>1.8049150705337524E-2</v>
      </c>
      <c r="E218" s="11">
        <v>0.20018154260868201</v>
      </c>
      <c r="F218" s="11">
        <v>0</v>
      </c>
      <c r="G218" s="11">
        <v>2.1601051092147827E-2</v>
      </c>
      <c r="H218" s="40">
        <v>4.1080843972783571E-4</v>
      </c>
      <c r="I218" s="40">
        <v>1.5642548211805065</v>
      </c>
      <c r="J218" s="59">
        <v>0</v>
      </c>
      <c r="K218" s="59">
        <v>2868.4642165899277</v>
      </c>
      <c r="L218" s="59">
        <v>0</v>
      </c>
      <c r="M218" s="11">
        <v>0.83521008491516113</v>
      </c>
      <c r="N218" s="11">
        <v>0.73941928148269653</v>
      </c>
      <c r="O218" s="11">
        <v>0.32020735740661621</v>
      </c>
      <c r="Q218" s="59">
        <v>14.534816436441757</v>
      </c>
      <c r="R218" s="78">
        <v>466.81634655265503</v>
      </c>
      <c r="S218" s="78">
        <v>14.589496248430311</v>
      </c>
      <c r="T218" s="78">
        <v>593.88012783025476</v>
      </c>
      <c r="U218" s="78">
        <v>5.4679811988554761E-2</v>
      </c>
      <c r="V218" s="78">
        <v>127.06378127759973</v>
      </c>
      <c r="Y218" s="28"/>
      <c r="Z218" s="28"/>
      <c r="AK218" s="28"/>
      <c r="AS218" s="28"/>
      <c r="AT218" s="28"/>
    </row>
    <row r="219" spans="3:46" x14ac:dyDescent="0.15">
      <c r="C219" s="11">
        <v>3.3922255039215088E-2</v>
      </c>
      <c r="D219" s="11">
        <v>2.5765061378479004E-2</v>
      </c>
      <c r="E219" s="11">
        <v>0.24252694673100045</v>
      </c>
      <c r="F219" s="11">
        <v>0</v>
      </c>
      <c r="G219" s="11">
        <v>3.8706362247467041E-2</v>
      </c>
      <c r="H219" s="40">
        <v>4.1127418782757E-4</v>
      </c>
      <c r="I219" s="40">
        <v>1.3709033438704774</v>
      </c>
      <c r="J219" s="59">
        <v>0</v>
      </c>
      <c r="K219" s="59">
        <v>6918.5672327876091</v>
      </c>
      <c r="L219" s="59">
        <v>0</v>
      </c>
      <c r="M219" s="11">
        <v>0.88385212421417236</v>
      </c>
      <c r="N219" s="11">
        <v>0.79393148422241211</v>
      </c>
      <c r="O219" s="11">
        <v>0.27665740251541138</v>
      </c>
      <c r="Q219" s="59">
        <v>15.039183860345473</v>
      </c>
      <c r="R219" s="78">
        <v>501.76814326222433</v>
      </c>
      <c r="S219" s="78">
        <v>15.071796316001365</v>
      </c>
      <c r="T219" s="78">
        <v>605.39448082172157</v>
      </c>
      <c r="U219" s="78">
        <v>3.2612455655891992E-2</v>
      </c>
      <c r="V219" s="78">
        <v>103.62633755949724</v>
      </c>
      <c r="Y219" s="28"/>
      <c r="Z219" s="28"/>
      <c r="AK219" s="28"/>
      <c r="AS219" s="28"/>
      <c r="AT219" s="28"/>
    </row>
    <row r="220" spans="3:46" x14ac:dyDescent="0.15">
      <c r="C220" s="11">
        <v>1.3007849454879761E-2</v>
      </c>
      <c r="D220" s="11">
        <v>1.6253247857093811E-2</v>
      </c>
      <c r="E220" s="11">
        <v>0.20805727580380304</v>
      </c>
      <c r="F220" s="11">
        <v>0</v>
      </c>
      <c r="G220" s="11">
        <v>2.3527264595031738E-2</v>
      </c>
      <c r="H220" s="40">
        <v>3.3440279295667626E-4</v>
      </c>
      <c r="I220" s="40">
        <v>1.6110604241813704</v>
      </c>
      <c r="J220" s="59">
        <v>0</v>
      </c>
      <c r="K220" s="59">
        <v>3432.3986619710922</v>
      </c>
      <c r="L220" s="59">
        <v>0</v>
      </c>
      <c r="M220" s="11">
        <v>0.84810349345207214</v>
      </c>
      <c r="N220" s="11">
        <v>0.68150067329406738</v>
      </c>
      <c r="O220" s="11">
        <v>0.26850742101669312</v>
      </c>
      <c r="Q220" s="59">
        <v>14.693466975376491</v>
      </c>
      <c r="R220" s="78">
        <v>476.23846513387298</v>
      </c>
      <c r="S220" s="78">
        <v>14.766061142338396</v>
      </c>
      <c r="T220" s="78">
        <v>596.44836696989501</v>
      </c>
      <c r="U220" s="78">
        <v>7.2594166961904349E-2</v>
      </c>
      <c r="V220" s="78">
        <v>120.20990183602203</v>
      </c>
      <c r="Y220" s="28"/>
      <c r="Z220" s="28"/>
      <c r="AK220" s="28"/>
      <c r="AS220" s="28"/>
      <c r="AT220" s="28"/>
    </row>
    <row r="221" spans="3:46" x14ac:dyDescent="0.15">
      <c r="C221" s="11">
        <v>1.3195589184761047E-2</v>
      </c>
      <c r="D221" s="11">
        <v>5.3683817386627197E-3</v>
      </c>
      <c r="E221" s="11">
        <v>0.29605718041559159</v>
      </c>
      <c r="F221" s="11">
        <v>0</v>
      </c>
      <c r="G221" s="11">
        <v>8.1667661666870117E-2</v>
      </c>
      <c r="H221" s="40">
        <v>4.5430424459396839E-4</v>
      </c>
      <c r="I221" s="40">
        <v>1.3709379541804927</v>
      </c>
      <c r="J221" s="59">
        <v>0</v>
      </c>
      <c r="K221" s="59">
        <v>3091.2319198250771</v>
      </c>
      <c r="L221" s="59">
        <v>0</v>
      </c>
      <c r="M221" s="11">
        <v>0.89070868492126465</v>
      </c>
      <c r="N221" s="11">
        <v>0.70538759231567383</v>
      </c>
      <c r="O221" s="11">
        <v>0.28836631774902344</v>
      </c>
      <c r="Q221" s="59">
        <v>15.455526453947762</v>
      </c>
      <c r="R221" s="78">
        <v>460.4357649981568</v>
      </c>
      <c r="S221" s="78">
        <v>15.504544280729737</v>
      </c>
      <c r="T221" s="78">
        <v>598.86105546738406</v>
      </c>
      <c r="U221" s="78">
        <v>4.9017826781975415E-2</v>
      </c>
      <c r="V221" s="78">
        <v>138.42529046922726</v>
      </c>
      <c r="Y221" s="28"/>
      <c r="Z221" s="28"/>
      <c r="AK221" s="28"/>
      <c r="AS221" s="28"/>
      <c r="AT221" s="28"/>
    </row>
    <row r="222" spans="3:46" x14ac:dyDescent="0.15">
      <c r="C222" s="11">
        <v>1.5311539173126221E-3</v>
      </c>
      <c r="D222" s="11">
        <v>2.6419192552566528E-2</v>
      </c>
      <c r="E222" s="11">
        <v>0.21573568722172426</v>
      </c>
      <c r="F222" s="11">
        <v>0</v>
      </c>
      <c r="G222" s="11">
        <v>6.9509625434875488E-2</v>
      </c>
      <c r="H222" s="40">
        <v>5.9869416233012274E-4</v>
      </c>
      <c r="I222" s="40">
        <v>1.4780796340871369</v>
      </c>
      <c r="J222" s="59">
        <v>0</v>
      </c>
      <c r="K222" s="59">
        <v>8119.6427345275879</v>
      </c>
      <c r="L222" s="59">
        <v>0</v>
      </c>
      <c r="M222" s="11">
        <v>0.88934051990509033</v>
      </c>
      <c r="N222" s="11">
        <v>0.81537032127380371</v>
      </c>
      <c r="O222" s="11">
        <v>0.29424461722373962</v>
      </c>
      <c r="Q222" s="59">
        <v>15.595327775647736</v>
      </c>
      <c r="R222" s="78">
        <v>689.61570023265949</v>
      </c>
      <c r="S222" s="78">
        <v>15.665076400325866</v>
      </c>
      <c r="T222" s="78">
        <v>644.11631469294321</v>
      </c>
      <c r="U222" s="78">
        <v>6.9748624678130255E-2</v>
      </c>
      <c r="V222" s="78">
        <v>-45.499385539716286</v>
      </c>
      <c r="Y222" s="28"/>
      <c r="Z222" s="28"/>
      <c r="AK222" s="28"/>
      <c r="AS222" s="28"/>
      <c r="AT222" s="28"/>
    </row>
    <row r="223" spans="3:46" x14ac:dyDescent="0.15">
      <c r="C223" s="11">
        <v>7.1487575769424438E-3</v>
      </c>
      <c r="D223" s="11">
        <v>1.918637752532959E-2</v>
      </c>
      <c r="E223" s="11">
        <v>0.15996953348933901</v>
      </c>
      <c r="F223" s="11">
        <v>0</v>
      </c>
      <c r="G223" s="11">
        <v>3.8782477378845215E-2</v>
      </c>
      <c r="H223" s="40">
        <v>5.1170487151505758E-4</v>
      </c>
      <c r="I223" s="40">
        <v>1.4148007502136704</v>
      </c>
      <c r="J223" s="59">
        <v>0</v>
      </c>
      <c r="K223" s="59">
        <v>4001.9629523158073</v>
      </c>
      <c r="L223" s="59">
        <v>0</v>
      </c>
      <c r="M223" s="11">
        <v>0.89364171028137207</v>
      </c>
      <c r="N223" s="11">
        <v>0.78551828861236572</v>
      </c>
      <c r="O223" s="11">
        <v>0.27177321910858154</v>
      </c>
      <c r="Q223" s="59">
        <v>15.605340341791505</v>
      </c>
      <c r="R223" s="78">
        <v>484.31600534566172</v>
      </c>
      <c r="S223" s="78">
        <v>15.66119610783284</v>
      </c>
      <c r="T223" s="78">
        <v>593.67699011584295</v>
      </c>
      <c r="U223" s="78">
        <v>5.5855766041334576E-2</v>
      </c>
      <c r="V223" s="78">
        <v>109.36098477018123</v>
      </c>
      <c r="Y223" s="28"/>
      <c r="Z223" s="28"/>
      <c r="AK223" s="28"/>
      <c r="AS223" s="28"/>
      <c r="AT223" s="28"/>
    </row>
    <row r="224" spans="3:46" x14ac:dyDescent="0.15">
      <c r="C224" s="11">
        <v>2.8376519680023193E-2</v>
      </c>
      <c r="D224" s="11">
        <v>1.3090178370475769E-2</v>
      </c>
      <c r="E224" s="11">
        <v>0.20803395684041637</v>
      </c>
      <c r="F224" s="11">
        <v>0</v>
      </c>
      <c r="G224" s="11">
        <v>3.9054363965988159E-2</v>
      </c>
      <c r="H224" s="40">
        <v>3.4823063017256711E-4</v>
      </c>
      <c r="I224" s="40">
        <v>1.4370420570586131</v>
      </c>
      <c r="J224" s="59">
        <v>0</v>
      </c>
      <c r="K224" s="59">
        <v>6339.5127654075623</v>
      </c>
      <c r="L224" s="59">
        <v>0</v>
      </c>
      <c r="M224" s="11">
        <v>0.84493935108184814</v>
      </c>
      <c r="N224" s="11">
        <v>0.78573620319366455</v>
      </c>
      <c r="O224" s="11">
        <v>0.2906537652015686</v>
      </c>
      <c r="Q224" s="59">
        <v>14.467499366888154</v>
      </c>
      <c r="R224" s="78">
        <v>496.51282631307009</v>
      </c>
      <c r="S224" s="78">
        <v>14.494051245868139</v>
      </c>
      <c r="T224" s="78">
        <v>600.56056001948559</v>
      </c>
      <c r="U224" s="78">
        <v>2.6551878979985233E-2</v>
      </c>
      <c r="V224" s="78">
        <v>104.0477337064155</v>
      </c>
      <c r="Y224" s="28"/>
      <c r="Z224" s="28"/>
      <c r="AK224" s="28"/>
      <c r="AS224" s="28"/>
      <c r="AT224" s="28"/>
    </row>
    <row r="225" spans="3:46" x14ac:dyDescent="0.15">
      <c r="C225" s="11">
        <v>2.6596128940582275E-2</v>
      </c>
      <c r="D225" s="11">
        <v>2.9834002256393433E-2</v>
      </c>
      <c r="E225" s="11">
        <v>0.23418116770323544</v>
      </c>
      <c r="F225" s="11">
        <v>0</v>
      </c>
      <c r="G225" s="11">
        <v>6.3772201538085938E-2</v>
      </c>
      <c r="H225" s="40">
        <v>4.530617830443906E-4</v>
      </c>
      <c r="I225" s="40">
        <v>1.5575940122119711</v>
      </c>
      <c r="J225" s="59">
        <v>0</v>
      </c>
      <c r="K225" s="59">
        <v>4298.2818558812141</v>
      </c>
      <c r="L225" s="59">
        <v>0</v>
      </c>
      <c r="M225" s="11">
        <v>0.88551747798919678</v>
      </c>
      <c r="N225" s="11">
        <v>0.79431307315826416</v>
      </c>
      <c r="O225" s="11">
        <v>0.22740936279296875</v>
      </c>
      <c r="Q225" s="59">
        <v>15.130341717422027</v>
      </c>
      <c r="R225" s="78">
        <v>536.01043737477971</v>
      </c>
      <c r="S225" s="78">
        <v>15.202593990715792</v>
      </c>
      <c r="T225" s="78">
        <v>612.9419467005381</v>
      </c>
      <c r="U225" s="78">
        <v>7.2252273293765157E-2</v>
      </c>
      <c r="V225" s="78">
        <v>76.931509325758384</v>
      </c>
      <c r="Y225" s="28"/>
      <c r="Z225" s="28"/>
      <c r="AK225" s="28"/>
      <c r="AS225" s="28"/>
      <c r="AT225" s="28"/>
    </row>
    <row r="226" spans="3:46" x14ac:dyDescent="0.15">
      <c r="C226" s="11">
        <v>8.5307061672210693E-3</v>
      </c>
      <c r="D226" s="11">
        <v>3.9579570293426514E-3</v>
      </c>
      <c r="E226" s="11">
        <v>0.26169153343350954</v>
      </c>
      <c r="F226" s="11">
        <v>0</v>
      </c>
      <c r="G226" s="11">
        <v>3.1260520219802856E-2</v>
      </c>
      <c r="H226" s="40">
        <v>5.2630884328923344E-4</v>
      </c>
      <c r="I226" s="40">
        <v>1.4616677853344087</v>
      </c>
      <c r="J226" s="59">
        <v>0</v>
      </c>
      <c r="K226" s="59">
        <v>4688.1311573088169</v>
      </c>
      <c r="L226" s="59">
        <v>0</v>
      </c>
      <c r="M226" s="11">
        <v>0.84566676616668701</v>
      </c>
      <c r="N226" s="11">
        <v>0.70649480819702148</v>
      </c>
      <c r="O226" s="11">
        <v>0.31515717506408691</v>
      </c>
      <c r="Q226" s="59">
        <v>14.732058506948203</v>
      </c>
      <c r="R226" s="78">
        <v>513.76556380150612</v>
      </c>
      <c r="S226" s="78">
        <v>14.789261628494449</v>
      </c>
      <c r="T226" s="78">
        <v>610.87341109383408</v>
      </c>
      <c r="U226" s="78">
        <v>5.7203121546246294E-2</v>
      </c>
      <c r="V226" s="78">
        <v>97.107847292327961</v>
      </c>
      <c r="Y226" s="28"/>
      <c r="Z226" s="28"/>
      <c r="AK226" s="28"/>
      <c r="AS226" s="28"/>
      <c r="AT226" s="28"/>
    </row>
    <row r="227" spans="3:46" x14ac:dyDescent="0.15">
      <c r="C227" s="11">
        <v>1.2905523180961609E-2</v>
      </c>
      <c r="D227" s="11">
        <v>6.2196731567382812E-2</v>
      </c>
      <c r="E227" s="11">
        <v>0.18069210769423372</v>
      </c>
      <c r="F227" s="11">
        <v>0</v>
      </c>
      <c r="G227" s="11">
        <v>5.9435367584228516E-2</v>
      </c>
      <c r="H227" s="40">
        <v>7.6030312883470271E-4</v>
      </c>
      <c r="I227" s="40">
        <v>1.3626776595822438</v>
      </c>
      <c r="J227" s="59">
        <v>0</v>
      </c>
      <c r="K227" s="59">
        <v>6547.7681346237659</v>
      </c>
      <c r="L227" s="59">
        <v>0</v>
      </c>
      <c r="M227" s="11">
        <v>0.89885807037353516</v>
      </c>
      <c r="N227" s="11">
        <v>0.73747366666793823</v>
      </c>
      <c r="O227" s="11">
        <v>0.2988700270652771</v>
      </c>
      <c r="Q227" s="59">
        <v>15.548205065366529</v>
      </c>
      <c r="R227" s="78">
        <v>596.67314062738978</v>
      </c>
      <c r="S227" s="78">
        <v>15.649274375820136</v>
      </c>
      <c r="T227" s="78">
        <v>616.31273601769362</v>
      </c>
      <c r="U227" s="78">
        <v>0.10106931045360668</v>
      </c>
      <c r="V227" s="78">
        <v>19.639595390303839</v>
      </c>
      <c r="Y227" s="28"/>
      <c r="Z227" s="28"/>
      <c r="AK227" s="28"/>
      <c r="AS227" s="28"/>
      <c r="AT227" s="28"/>
    </row>
    <row r="228" spans="3:46" x14ac:dyDescent="0.15">
      <c r="C228" s="11">
        <v>1.1145174503326416E-2</v>
      </c>
      <c r="D228" s="11">
        <v>7.5435042381286621E-3</v>
      </c>
      <c r="E228" s="11">
        <v>0.37283655537563393</v>
      </c>
      <c r="F228" s="11">
        <v>0</v>
      </c>
      <c r="G228" s="11">
        <v>1.774221658706665E-2</v>
      </c>
      <c r="H228" s="40">
        <v>4.3468352905530401E-4</v>
      </c>
      <c r="I228" s="40">
        <v>1.4988402603017084</v>
      </c>
      <c r="J228" s="59">
        <v>0</v>
      </c>
      <c r="K228" s="59">
        <v>2876.1383146047592</v>
      </c>
      <c r="L228" s="59">
        <v>0</v>
      </c>
      <c r="M228" s="11">
        <v>0.83307081460952759</v>
      </c>
      <c r="N228" s="11">
        <v>0.68920862674713135</v>
      </c>
      <c r="O228" s="11">
        <v>0.27678918838500977</v>
      </c>
      <c r="Q228" s="59">
        <v>14.477142708986369</v>
      </c>
      <c r="R228" s="78">
        <v>456.51109626815548</v>
      </c>
      <c r="S228" s="78">
        <v>14.523041326824119</v>
      </c>
      <c r="T228" s="78">
        <v>602.62693471058742</v>
      </c>
      <c r="U228" s="78">
        <v>4.5898617837750066E-2</v>
      </c>
      <c r="V228" s="78">
        <v>146.11583844243194</v>
      </c>
      <c r="Y228" s="28"/>
      <c r="Z228" s="28"/>
      <c r="AK228" s="28"/>
      <c r="AS228" s="28"/>
      <c r="AT228" s="28"/>
    </row>
    <row r="229" spans="3:46" x14ac:dyDescent="0.15">
      <c r="C229" s="11">
        <v>4.2595028877258301E-2</v>
      </c>
      <c r="D229" s="11">
        <v>2.8507113456726074E-2</v>
      </c>
      <c r="E229" s="11">
        <v>0.26397075574084117</v>
      </c>
      <c r="F229" s="11">
        <v>0</v>
      </c>
      <c r="G229" s="11">
        <v>4.7065973281860352E-2</v>
      </c>
      <c r="H229" s="40">
        <v>5.8510647175204482E-4</v>
      </c>
      <c r="I229" s="40">
        <v>1.4298338859265167</v>
      </c>
      <c r="J229" s="59">
        <v>0</v>
      </c>
      <c r="K229" s="59">
        <v>5361.3237105309963</v>
      </c>
      <c r="L229" s="59">
        <v>0</v>
      </c>
      <c r="M229" s="11">
        <v>0.859474778175354</v>
      </c>
      <c r="N229" s="11">
        <v>0.72999989986419678</v>
      </c>
      <c r="O229" s="11">
        <v>0.3177720308303833</v>
      </c>
      <c r="Q229" s="59">
        <v>14.450508538138225</v>
      </c>
      <c r="R229" s="78">
        <v>538.32936676811744</v>
      </c>
      <c r="S229" s="78">
        <v>14.512087852327747</v>
      </c>
      <c r="T229" s="78">
        <v>617.73068923498101</v>
      </c>
      <c r="U229" s="78">
        <v>6.1579314189522449E-2</v>
      </c>
      <c r="V229" s="78">
        <v>79.401322466863576</v>
      </c>
      <c r="Y229" s="28"/>
      <c r="Z229" s="28"/>
      <c r="AK229" s="28"/>
      <c r="AS229" s="28"/>
      <c r="AT229" s="28"/>
    </row>
    <row r="230" spans="3:46" x14ac:dyDescent="0.15">
      <c r="C230" s="11">
        <v>3.1410932540893555E-2</v>
      </c>
      <c r="D230" s="11">
        <v>4.0209650993347168E-2</v>
      </c>
      <c r="E230" s="11">
        <v>0.2464907648916447</v>
      </c>
      <c r="F230" s="11">
        <v>0</v>
      </c>
      <c r="G230" s="11">
        <v>1.9695401191711426E-2</v>
      </c>
      <c r="H230" s="40">
        <v>4.689360631202345E-4</v>
      </c>
      <c r="I230" s="40">
        <v>1.4975023970585599</v>
      </c>
      <c r="J230" s="59">
        <v>0</v>
      </c>
      <c r="K230" s="59">
        <v>5071.4053213596344</v>
      </c>
      <c r="L230" s="59">
        <v>0</v>
      </c>
      <c r="M230" s="11">
        <v>0.82276314496994019</v>
      </c>
      <c r="N230" s="11">
        <v>0.73249882459640503</v>
      </c>
      <c r="O230" s="11">
        <v>0.25869846343994141</v>
      </c>
      <c r="Q230" s="59">
        <v>14.006893433767821</v>
      </c>
      <c r="R230" s="78">
        <v>510.66460080211965</v>
      </c>
      <c r="S230" s="78">
        <v>14.058953367116818</v>
      </c>
      <c r="T230" s="78">
        <v>608.26730479151092</v>
      </c>
      <c r="U230" s="78">
        <v>5.2059933348996168E-2</v>
      </c>
      <c r="V230" s="78">
        <v>97.602703989391273</v>
      </c>
      <c r="Y230" s="28"/>
      <c r="Z230" s="28"/>
      <c r="AK230" s="28"/>
      <c r="AS230" s="28"/>
      <c r="AT230" s="28"/>
    </row>
    <row r="231" spans="3:46" x14ac:dyDescent="0.15">
      <c r="C231" s="11">
        <v>2.1750330924987793E-3</v>
      </c>
      <c r="D231" s="11">
        <v>1.2458920478820801E-2</v>
      </c>
      <c r="E231" s="11">
        <v>0.40492216631684397</v>
      </c>
      <c r="F231" s="11">
        <v>0</v>
      </c>
      <c r="G231" s="11">
        <v>8.82720947265625E-2</v>
      </c>
      <c r="H231" s="40">
        <v>5.4254245932301172E-4</v>
      </c>
      <c r="I231" s="40">
        <v>1.4905273290244012</v>
      </c>
      <c r="J231" s="59">
        <v>0</v>
      </c>
      <c r="K231" s="59">
        <v>2658.255398273468</v>
      </c>
      <c r="L231" s="59">
        <v>0</v>
      </c>
      <c r="M231" s="11">
        <v>0.85263353586196899</v>
      </c>
      <c r="N231" s="11">
        <v>0.78503698110580444</v>
      </c>
      <c r="O231" s="11">
        <v>0.27900803089141846</v>
      </c>
      <c r="Q231" s="59">
        <v>14.950839311035686</v>
      </c>
      <c r="R231" s="78">
        <v>492.68629412082538</v>
      </c>
      <c r="S231" s="78">
        <v>14.99607327212771</v>
      </c>
      <c r="T231" s="78">
        <v>619.55326257612421</v>
      </c>
      <c r="U231" s="78">
        <v>4.5233961092023378E-2</v>
      </c>
      <c r="V231" s="78">
        <v>126.86696845529883</v>
      </c>
      <c r="Y231" s="28"/>
      <c r="Z231" s="28"/>
      <c r="AK231" s="28"/>
      <c r="AS231" s="28"/>
      <c r="AT231" s="28"/>
    </row>
    <row r="232" spans="3:46" x14ac:dyDescent="0.15">
      <c r="C232" s="11">
        <v>1.3250544667243958E-2</v>
      </c>
      <c r="D232" s="11">
        <v>3.3456385135650635E-2</v>
      </c>
      <c r="E232" s="11">
        <v>0.30507211342098728</v>
      </c>
      <c r="F232" s="11">
        <v>0</v>
      </c>
      <c r="G232" s="11">
        <v>4.710763692855835E-2</v>
      </c>
      <c r="H232" s="40">
        <v>4.0293953937848485E-4</v>
      </c>
      <c r="I232" s="40">
        <v>1.4946399587070043</v>
      </c>
      <c r="J232" s="59">
        <v>0</v>
      </c>
      <c r="K232" s="59">
        <v>3734.3334406614304</v>
      </c>
      <c r="L232" s="59">
        <v>0</v>
      </c>
      <c r="M232" s="11">
        <v>0.79498052597045898</v>
      </c>
      <c r="N232" s="11">
        <v>0.71933257579803467</v>
      </c>
      <c r="O232" s="11">
        <v>0.29148596525192261</v>
      </c>
      <c r="Q232" s="59">
        <v>13.799726760278633</v>
      </c>
      <c r="R232" s="78">
        <v>480.41268546650417</v>
      </c>
      <c r="S232" s="78">
        <v>13.838652499141379</v>
      </c>
      <c r="T232" s="78">
        <v>605.71880800713996</v>
      </c>
      <c r="U232" s="78">
        <v>3.8925738862745973E-2</v>
      </c>
      <c r="V232" s="78">
        <v>125.30612254063578</v>
      </c>
      <c r="Y232" s="28"/>
      <c r="Z232" s="28"/>
      <c r="AK232" s="28"/>
      <c r="AS232" s="28"/>
      <c r="AT232" s="28"/>
    </row>
    <row r="233" spans="3:46" x14ac:dyDescent="0.15">
      <c r="C233" s="11">
        <v>3.473663330078125E-2</v>
      </c>
      <c r="D233" s="11">
        <v>1.8088653683662415E-2</v>
      </c>
      <c r="E233" s="11">
        <v>0.27713141055136409</v>
      </c>
      <c r="F233" s="11">
        <v>0</v>
      </c>
      <c r="G233" s="11">
        <v>4.1133642196655273E-2</v>
      </c>
      <c r="H233" s="40">
        <v>4.8616781610348408E-4</v>
      </c>
      <c r="I233" s="40">
        <v>1.4250155836500467</v>
      </c>
      <c r="J233" s="59">
        <v>0</v>
      </c>
      <c r="K233" s="59">
        <v>7400.0190943479538</v>
      </c>
      <c r="L233" s="59">
        <v>0</v>
      </c>
      <c r="M233" s="11">
        <v>0.85667386651039124</v>
      </c>
      <c r="N233" s="11">
        <v>0.67589163780212402</v>
      </c>
      <c r="O233" s="11">
        <v>0.27058613300323486</v>
      </c>
      <c r="Q233" s="59">
        <v>14.523920523795004</v>
      </c>
      <c r="R233" s="78">
        <v>554.96102385323877</v>
      </c>
      <c r="S233" s="78">
        <v>14.583118846810489</v>
      </c>
      <c r="T233" s="78">
        <v>624.20429124530267</v>
      </c>
      <c r="U233" s="78">
        <v>5.9198323015484888E-2</v>
      </c>
      <c r="V233" s="78">
        <v>69.243267392063899</v>
      </c>
      <c r="Y233" s="28"/>
      <c r="Z233" s="28"/>
      <c r="AK233" s="28"/>
      <c r="AS233" s="28"/>
      <c r="AT233" s="28"/>
    </row>
    <row r="234" spans="3:46" x14ac:dyDescent="0.15">
      <c r="C234" s="11">
        <v>1.5332192182540894E-2</v>
      </c>
      <c r="D234" s="11">
        <v>1.680678129196167E-2</v>
      </c>
      <c r="E234" s="11">
        <v>0.23893227880768422</v>
      </c>
      <c r="F234" s="11">
        <v>0</v>
      </c>
      <c r="G234" s="11">
        <v>3.4740358591079712E-2</v>
      </c>
      <c r="H234" s="40">
        <v>3.4160320764235167E-4</v>
      </c>
      <c r="I234" s="40">
        <v>1.5979775348116525</v>
      </c>
      <c r="J234" s="59">
        <v>0</v>
      </c>
      <c r="K234" s="59">
        <v>4385.639913380146</v>
      </c>
      <c r="L234" s="59">
        <v>0</v>
      </c>
      <c r="M234" s="11">
        <v>0.85358256101608276</v>
      </c>
      <c r="N234" s="11">
        <v>0.74724072217941284</v>
      </c>
      <c r="O234" s="11">
        <v>0.29897814989089966</v>
      </c>
      <c r="Q234" s="59">
        <v>14.775443583706291</v>
      </c>
      <c r="R234" s="78">
        <v>503.50279616774162</v>
      </c>
      <c r="S234" s="78">
        <v>14.828896491357078</v>
      </c>
      <c r="T234" s="78">
        <v>605.64195404899078</v>
      </c>
      <c r="U234" s="78">
        <v>5.3452907650786585E-2</v>
      </c>
      <c r="V234" s="78">
        <v>102.13915788124916</v>
      </c>
      <c r="Y234" s="28"/>
      <c r="Z234" s="28"/>
      <c r="AK234" s="28"/>
      <c r="AS234" s="28"/>
      <c r="AT234" s="28"/>
    </row>
    <row r="235" spans="3:46" x14ac:dyDescent="0.15">
      <c r="C235" s="11">
        <v>3.5475254058837891E-2</v>
      </c>
      <c r="D235" s="11">
        <v>1.9397720694541931E-2</v>
      </c>
      <c r="E235" s="11">
        <v>0.28664265777867781</v>
      </c>
      <c r="F235" s="11">
        <v>0</v>
      </c>
      <c r="G235" s="11">
        <v>4.8115253448486328E-2</v>
      </c>
      <c r="H235" s="40">
        <v>3.9785046524787819E-4</v>
      </c>
      <c r="I235" s="40">
        <v>1.4136906428006637</v>
      </c>
      <c r="J235" s="59">
        <v>0</v>
      </c>
      <c r="K235" s="59">
        <v>4585.7601799070835</v>
      </c>
      <c r="L235" s="59">
        <v>0</v>
      </c>
      <c r="M235" s="11">
        <v>0.79729938507080078</v>
      </c>
      <c r="N235" s="11">
        <v>0.76056909561157227</v>
      </c>
      <c r="O235" s="11">
        <v>0.28595346212387085</v>
      </c>
      <c r="Q235" s="59">
        <v>13.552177843261966</v>
      </c>
      <c r="R235" s="78">
        <v>475.96085746962729</v>
      </c>
      <c r="S235" s="78">
        <v>13.574449249885202</v>
      </c>
      <c r="T235" s="78">
        <v>602.73617671478962</v>
      </c>
      <c r="U235" s="78">
        <v>2.2271406623236345E-2</v>
      </c>
      <c r="V235" s="78">
        <v>126.77531924516234</v>
      </c>
      <c r="Y235" s="28"/>
      <c r="Z235" s="28"/>
      <c r="AK235" s="28"/>
      <c r="AS235" s="28"/>
      <c r="AT235" s="28"/>
    </row>
    <row r="236" spans="3:46" x14ac:dyDescent="0.15">
      <c r="C236" s="11">
        <v>7.4195116758346558E-3</v>
      </c>
      <c r="D236" s="11">
        <v>4.1522622108459473E-2</v>
      </c>
      <c r="E236" s="11">
        <v>0.3966321512836985</v>
      </c>
      <c r="F236" s="11">
        <v>0</v>
      </c>
      <c r="G236" s="11">
        <v>3.8966357707977295E-2</v>
      </c>
      <c r="H236" s="40">
        <v>4.5995755763673045E-4</v>
      </c>
      <c r="I236" s="40">
        <v>1.3785760317403439</v>
      </c>
      <c r="J236" s="59">
        <v>0</v>
      </c>
      <c r="K236" s="59">
        <v>3747.8283047676086</v>
      </c>
      <c r="L236" s="59">
        <v>0</v>
      </c>
      <c r="M236" s="11">
        <v>0.89144885540008545</v>
      </c>
      <c r="N236" s="11">
        <v>0.7285008430480957</v>
      </c>
      <c r="O236" s="11">
        <v>0.31021851301193237</v>
      </c>
      <c r="Q236" s="59">
        <v>15.558266088913024</v>
      </c>
      <c r="R236" s="78">
        <v>462.27461139854915</v>
      </c>
      <c r="S236" s="78">
        <v>15.600868706778945</v>
      </c>
      <c r="T236" s="78">
        <v>606.32383438984709</v>
      </c>
      <c r="U236" s="78">
        <v>4.2602617865920678E-2</v>
      </c>
      <c r="V236" s="78">
        <v>144.04922299129794</v>
      </c>
      <c r="Y236" s="28"/>
      <c r="Z236" s="28"/>
      <c r="AK236" s="28"/>
      <c r="AS236" s="28"/>
      <c r="AT236" s="28"/>
    </row>
    <row r="237" spans="3:46" x14ac:dyDescent="0.15">
      <c r="C237" s="11">
        <v>1.8073916435241699E-3</v>
      </c>
      <c r="D237" s="11">
        <v>2.3583769798278809E-3</v>
      </c>
      <c r="E237" s="11">
        <v>0.20985490602547083</v>
      </c>
      <c r="F237" s="11">
        <v>0</v>
      </c>
      <c r="G237" s="11">
        <v>3.2521456480026245E-2</v>
      </c>
      <c r="H237" s="40">
        <v>3.4654167788163739E-4</v>
      </c>
      <c r="I237" s="40">
        <v>1.4701143490032462</v>
      </c>
      <c r="J237" s="59">
        <v>0</v>
      </c>
      <c r="K237" s="59">
        <v>5340.122152119875</v>
      </c>
      <c r="L237" s="59">
        <v>0</v>
      </c>
      <c r="M237" s="11">
        <v>0.87834012508392334</v>
      </c>
      <c r="N237" s="11">
        <v>0.78960204124450684</v>
      </c>
      <c r="O237" s="11">
        <v>0.32348674535751343</v>
      </c>
      <c r="Q237" s="59">
        <v>15.444858926504512</v>
      </c>
      <c r="R237" s="78">
        <v>488.0678480828808</v>
      </c>
      <c r="S237" s="78">
        <v>15.477703576630885</v>
      </c>
      <c r="T237" s="78">
        <v>598.98390632458961</v>
      </c>
      <c r="U237" s="78">
        <v>3.2844650126373054E-2</v>
      </c>
      <c r="V237" s="78">
        <v>110.91605824170881</v>
      </c>
      <c r="Y237" s="28"/>
      <c r="Z237" s="28"/>
      <c r="AK237" s="28"/>
      <c r="AS237" s="28"/>
      <c r="AT237" s="28"/>
    </row>
    <row r="238" spans="3:46" x14ac:dyDescent="0.15">
      <c r="C238" s="11">
        <v>1.0033503174781799E-2</v>
      </c>
      <c r="D238" s="11">
        <v>3.3635258674621582E-2</v>
      </c>
      <c r="E238" s="11">
        <v>0.2337747711163799</v>
      </c>
      <c r="F238" s="11">
        <v>0</v>
      </c>
      <c r="G238" s="11">
        <v>2.5836437940597534E-2</v>
      </c>
      <c r="H238" s="40">
        <v>4.7963370504736005E-4</v>
      </c>
      <c r="I238" s="40">
        <v>1.5315431501668435</v>
      </c>
      <c r="J238" s="59">
        <v>0</v>
      </c>
      <c r="K238" s="59">
        <v>5480.0556972622871</v>
      </c>
      <c r="L238" s="59">
        <v>0</v>
      </c>
      <c r="M238" s="11">
        <v>0.86771196126937866</v>
      </c>
      <c r="N238" s="11">
        <v>0.72817349433898926</v>
      </c>
      <c r="O238" s="11">
        <v>0.24224281311035156</v>
      </c>
      <c r="Q238" s="59">
        <v>15.070433280565222</v>
      </c>
      <c r="R238" s="78">
        <v>544.46158858591559</v>
      </c>
      <c r="S238" s="78">
        <v>15.148544440206866</v>
      </c>
      <c r="T238" s="78">
        <v>614.90049298836209</v>
      </c>
      <c r="U238" s="78">
        <v>7.8111159641643724E-2</v>
      </c>
      <c r="V238" s="78">
        <v>70.438904402446497</v>
      </c>
      <c r="Y238" s="28"/>
      <c r="Z238" s="28"/>
      <c r="AK238" s="28"/>
      <c r="AS238" s="28"/>
      <c r="AT238" s="28"/>
    </row>
    <row r="239" spans="3:46" x14ac:dyDescent="0.15">
      <c r="C239" s="11">
        <v>2.0572245121002197E-2</v>
      </c>
      <c r="D239" s="11">
        <v>1.1285975575447083E-2</v>
      </c>
      <c r="E239" s="11">
        <v>0.38098604093526051</v>
      </c>
      <c r="F239" s="11">
        <v>0</v>
      </c>
      <c r="G239" s="11">
        <v>3.7620425224304199E-2</v>
      </c>
      <c r="H239" s="40">
        <v>6.4043687438271378E-4</v>
      </c>
      <c r="I239" s="40">
        <v>1.3746034498737354</v>
      </c>
      <c r="J239" s="59">
        <v>0</v>
      </c>
      <c r="K239" s="59">
        <v>4895.4389058053493</v>
      </c>
      <c r="L239" s="59">
        <v>0</v>
      </c>
      <c r="M239" s="11">
        <v>0.87438315153121948</v>
      </c>
      <c r="N239" s="11">
        <v>0.76554220914840698</v>
      </c>
      <c r="O239" s="11">
        <v>0.29775208234786987</v>
      </c>
      <c r="Q239" s="59">
        <v>15.059211062110048</v>
      </c>
      <c r="R239" s="78">
        <v>514.57482805474046</v>
      </c>
      <c r="S239" s="78">
        <v>15.100795699193052</v>
      </c>
      <c r="T239" s="78">
        <v>625.51938414342692</v>
      </c>
      <c r="U239" s="78">
        <v>4.1584637083003528E-2</v>
      </c>
      <c r="V239" s="78">
        <v>110.94455608868645</v>
      </c>
      <c r="Y239" s="28"/>
      <c r="Z239" s="28"/>
      <c r="AK239" s="28"/>
      <c r="AS239" s="28"/>
      <c r="AT239" s="28"/>
    </row>
    <row r="240" spans="3:46" x14ac:dyDescent="0.15">
      <c r="C240" s="11">
        <v>3.178030252456665E-3</v>
      </c>
      <c r="D240" s="11">
        <v>1.2473195791244507E-2</v>
      </c>
      <c r="E240" s="11">
        <v>0.21555777816899221</v>
      </c>
      <c r="F240" s="11">
        <v>0</v>
      </c>
      <c r="G240" s="11">
        <v>2.242964506149292E-2</v>
      </c>
      <c r="H240" s="40">
        <v>3.9207299549400579E-4</v>
      </c>
      <c r="I240" s="40">
        <v>1.4830865584812853</v>
      </c>
      <c r="J240" s="59">
        <v>0</v>
      </c>
      <c r="K240" s="59">
        <v>6244.4014474749565</v>
      </c>
      <c r="L240" s="59">
        <v>0</v>
      </c>
      <c r="M240" s="11">
        <v>0.85403740406036377</v>
      </c>
      <c r="N240" s="11">
        <v>0.79644393920898438</v>
      </c>
      <c r="O240" s="11">
        <v>0.35215389728546143</v>
      </c>
      <c r="Q240" s="59">
        <v>14.998077659212516</v>
      </c>
      <c r="R240" s="78">
        <v>515.40881228457602</v>
      </c>
      <c r="S240" s="78">
        <v>15.028787577353659</v>
      </c>
      <c r="T240" s="78">
        <v>605.55407431073911</v>
      </c>
      <c r="U240" s="78">
        <v>3.0709918141143433E-2</v>
      </c>
      <c r="V240" s="78">
        <v>90.145262026163095</v>
      </c>
      <c r="Y240" s="28"/>
      <c r="Z240" s="28"/>
      <c r="AK240" s="28"/>
      <c r="AS240" s="28"/>
      <c r="AT240" s="28"/>
    </row>
    <row r="241" spans="3:46" x14ac:dyDescent="0.15">
      <c r="C241" s="11">
        <v>1.5549838542938232E-2</v>
      </c>
      <c r="D241" s="11">
        <v>9.984627366065979E-3</v>
      </c>
      <c r="E241" s="11">
        <v>0.20594771798615821</v>
      </c>
      <c r="F241" s="11">
        <v>0</v>
      </c>
      <c r="G241" s="11">
        <v>2.7182281017303467E-2</v>
      </c>
      <c r="H241" s="40">
        <v>5.1115270807186835E-4</v>
      </c>
      <c r="I241" s="40">
        <v>1.4525309009095244</v>
      </c>
      <c r="J241" s="59">
        <v>0</v>
      </c>
      <c r="K241" s="59">
        <v>4454.6904973685741</v>
      </c>
      <c r="L241" s="59">
        <v>0</v>
      </c>
      <c r="M241" s="11">
        <v>0.82809597253799438</v>
      </c>
      <c r="N241" s="11">
        <v>0.76645380258560181</v>
      </c>
      <c r="O241" s="11">
        <v>0.28135895729064941</v>
      </c>
      <c r="Q241" s="59">
        <v>14.350496645126407</v>
      </c>
      <c r="R241" s="78">
        <v>498.44268779156511</v>
      </c>
      <c r="S241" s="78">
        <v>14.389348463270739</v>
      </c>
      <c r="T241" s="78">
        <v>600.8812236371881</v>
      </c>
      <c r="U241" s="78">
        <v>3.8851818144332029E-2</v>
      </c>
      <c r="V241" s="78">
        <v>102.43853584562299</v>
      </c>
      <c r="Y241" s="28"/>
      <c r="Z241" s="28"/>
      <c r="AK241" s="28"/>
      <c r="AS241" s="28"/>
      <c r="AT241" s="28"/>
    </row>
    <row r="242" spans="3:46" x14ac:dyDescent="0.15">
      <c r="C242" s="11">
        <v>6.9016218185424805E-3</v>
      </c>
      <c r="D242" s="11">
        <v>7.8541040420532227E-4</v>
      </c>
      <c r="E242" s="11">
        <v>0.22915171519927127</v>
      </c>
      <c r="F242" s="11">
        <v>0</v>
      </c>
      <c r="G242" s="11">
        <v>1.8444061279296875E-2</v>
      </c>
      <c r="H242" s="40">
        <v>4.7206214516826991E-4</v>
      </c>
      <c r="I242" s="40">
        <v>1.452975091072477</v>
      </c>
      <c r="J242" s="59">
        <v>0</v>
      </c>
      <c r="K242" s="59">
        <v>5164.3839105963707</v>
      </c>
      <c r="L242" s="59">
        <v>0</v>
      </c>
      <c r="M242" s="11">
        <v>0.84797772765159607</v>
      </c>
      <c r="N242" s="11">
        <v>0.765857994556427</v>
      </c>
      <c r="O242" s="11">
        <v>0.31487607955932617</v>
      </c>
      <c r="Q242" s="59">
        <v>14.827083010318379</v>
      </c>
      <c r="R242" s="78">
        <v>501.63661296821141</v>
      </c>
      <c r="S242" s="78">
        <v>14.863776971501009</v>
      </c>
      <c r="T242" s="78">
        <v>604.05145073759445</v>
      </c>
      <c r="U242" s="78">
        <v>3.6693961182630019E-2</v>
      </c>
      <c r="V242" s="78">
        <v>102.41483776938304</v>
      </c>
      <c r="Y242" s="28"/>
      <c r="Z242" s="28"/>
      <c r="AK242" s="28"/>
      <c r="AS242" s="28"/>
      <c r="AT242" s="28"/>
    </row>
    <row r="243" spans="3:46" x14ac:dyDescent="0.15">
      <c r="C243" s="11">
        <v>4.6125888824462891E-2</v>
      </c>
      <c r="D243" s="11">
        <v>2.7278721332550049E-2</v>
      </c>
      <c r="E243" s="11">
        <v>0.2286413638260868</v>
      </c>
      <c r="F243" s="11">
        <v>0</v>
      </c>
      <c r="G243" s="11">
        <v>2.0860284566879272E-2</v>
      </c>
      <c r="H243" s="40">
        <v>4.6844286093113081E-4</v>
      </c>
      <c r="I243" s="40">
        <v>1.4742612356123828</v>
      </c>
      <c r="J243" s="59">
        <v>0</v>
      </c>
      <c r="K243" s="59">
        <v>5339.5121358335018</v>
      </c>
      <c r="L243" s="59">
        <v>0</v>
      </c>
      <c r="M243" s="11">
        <v>0.88043475151062012</v>
      </c>
      <c r="N243" s="11">
        <v>0.75938987731933594</v>
      </c>
      <c r="O243" s="11">
        <v>0.27953249216079712</v>
      </c>
      <c r="Q243" s="59">
        <v>14.76204825896094</v>
      </c>
      <c r="R243" s="78">
        <v>508.00313632516793</v>
      </c>
      <c r="S243" s="78">
        <v>14.817461485401521</v>
      </c>
      <c r="T243" s="78">
        <v>605.50156175697339</v>
      </c>
      <c r="U243" s="78">
        <v>5.5413226440581553E-2</v>
      </c>
      <c r="V243" s="78">
        <v>97.498425431805458</v>
      </c>
      <c r="Y243" s="28"/>
      <c r="Z243" s="28"/>
      <c r="AK243" s="28"/>
      <c r="AS243" s="28"/>
      <c r="AT243" s="28"/>
    </row>
    <row r="244" spans="3:46" x14ac:dyDescent="0.15">
      <c r="C244" s="11">
        <v>5.0630867481231689E-3</v>
      </c>
      <c r="D244" s="11">
        <v>1.1136427521705627E-2</v>
      </c>
      <c r="E244" s="11">
        <v>0.28894951787411133</v>
      </c>
      <c r="F244" s="11">
        <v>0</v>
      </c>
      <c r="G244" s="11">
        <v>0.10266399383544922</v>
      </c>
      <c r="H244" s="40">
        <v>4.8687489371326744E-4</v>
      </c>
      <c r="I244" s="40">
        <v>1.4143985207558192</v>
      </c>
      <c r="J244" s="59">
        <v>0</v>
      </c>
      <c r="K244" s="59">
        <v>3157.5979664921761</v>
      </c>
      <c r="L244" s="59">
        <v>0</v>
      </c>
      <c r="M244" s="11">
        <v>0.80834329128265381</v>
      </c>
      <c r="N244" s="11">
        <v>0.7203601598739624</v>
      </c>
      <c r="O244" s="11">
        <v>0.24213933944702148</v>
      </c>
      <c r="Q244" s="59">
        <v>14.144499546841814</v>
      </c>
      <c r="R244" s="78">
        <v>483.37120101685446</v>
      </c>
      <c r="S244" s="78">
        <v>14.187927977349247</v>
      </c>
      <c r="T244" s="78">
        <v>605.13778705615698</v>
      </c>
      <c r="U244" s="78">
        <v>4.3428430507432836E-2</v>
      </c>
      <c r="V244" s="78">
        <v>121.76658603930252</v>
      </c>
      <c r="Y244" s="28"/>
      <c r="Z244" s="28"/>
      <c r="AK244" s="28"/>
      <c r="AS244" s="28"/>
      <c r="AT244" s="28"/>
    </row>
    <row r="245" spans="3:46" x14ac:dyDescent="0.15">
      <c r="C245" s="11">
        <v>7.362663745880127E-3</v>
      </c>
      <c r="D245" s="11">
        <v>1.7680853605270386E-2</v>
      </c>
      <c r="E245" s="11">
        <v>0.24526758498802995</v>
      </c>
      <c r="F245" s="11">
        <v>0</v>
      </c>
      <c r="G245" s="11">
        <v>2.9216378927230835E-2</v>
      </c>
      <c r="H245" s="40">
        <v>6.4808770749306087E-4</v>
      </c>
      <c r="I245" s="40">
        <v>1.3238738640600931</v>
      </c>
      <c r="J245" s="59">
        <v>0</v>
      </c>
      <c r="K245" s="59">
        <v>5161.4805124700069</v>
      </c>
      <c r="L245" s="59">
        <v>0</v>
      </c>
      <c r="M245" s="11">
        <v>0.86996060609817505</v>
      </c>
      <c r="N245" s="11">
        <v>0.8012317419052124</v>
      </c>
      <c r="O245" s="11">
        <v>0.26822376251220703</v>
      </c>
      <c r="Q245" s="59">
        <v>15.203771764772451</v>
      </c>
      <c r="R245" s="78">
        <v>501.51880152728637</v>
      </c>
      <c r="S245" s="78">
        <v>15.241096758653994</v>
      </c>
      <c r="T245" s="78">
        <v>605.72057542614368</v>
      </c>
      <c r="U245" s="78">
        <v>3.7324993881542312E-2</v>
      </c>
      <c r="V245" s="78">
        <v>104.20177389885731</v>
      </c>
      <c r="Y245" s="28"/>
      <c r="Z245" s="28"/>
      <c r="AK245" s="28"/>
      <c r="AS245" s="28"/>
      <c r="AT245" s="28"/>
    </row>
    <row r="246" spans="3:46" x14ac:dyDescent="0.15">
      <c r="C246" s="11">
        <v>9.2104077339172363E-3</v>
      </c>
      <c r="D246" s="11">
        <v>2.0907461643218994E-2</v>
      </c>
      <c r="E246" s="11">
        <v>0.2091340824233707</v>
      </c>
      <c r="F246" s="11">
        <v>0</v>
      </c>
      <c r="G246" s="11">
        <v>2.655145525932312E-2</v>
      </c>
      <c r="H246" s="40">
        <v>2.6623113504919158E-4</v>
      </c>
      <c r="I246" s="40">
        <v>1.5283216181398609</v>
      </c>
      <c r="J246" s="59">
        <v>0</v>
      </c>
      <c r="K246" s="59">
        <v>4128.9697401225567</v>
      </c>
      <c r="L246" s="59">
        <v>0</v>
      </c>
      <c r="M246" s="11">
        <v>0.80566966533660889</v>
      </c>
      <c r="N246" s="11">
        <v>0.82784557342529297</v>
      </c>
      <c r="O246" s="11">
        <v>0.31578558683395386</v>
      </c>
      <c r="Q246" s="59">
        <v>14.085084535050477</v>
      </c>
      <c r="R246" s="78">
        <v>457.52954680892833</v>
      </c>
      <c r="S246" s="78">
        <v>14.096780043356629</v>
      </c>
      <c r="T246" s="78">
        <v>592.44182791943081</v>
      </c>
      <c r="U246" s="78">
        <v>1.1695508306152291E-2</v>
      </c>
      <c r="V246" s="78">
        <v>134.91228111050248</v>
      </c>
      <c r="Y246" s="28"/>
      <c r="Z246" s="28"/>
      <c r="AK246" s="28"/>
      <c r="AS246" s="28"/>
      <c r="AT246" s="28"/>
    </row>
    <row r="247" spans="3:46" x14ac:dyDescent="0.15">
      <c r="C247" s="11">
        <v>8.6802840232849121E-3</v>
      </c>
      <c r="D247" s="11">
        <v>6.5306127071380615E-3</v>
      </c>
      <c r="E247" s="11">
        <v>0.25599531689127381</v>
      </c>
      <c r="F247" s="11">
        <v>0</v>
      </c>
      <c r="G247" s="11">
        <v>3.7104785442352295E-2</v>
      </c>
      <c r="H247" s="40">
        <v>3.7043907423730366E-4</v>
      </c>
      <c r="I247" s="40">
        <v>1.5649425247671678</v>
      </c>
      <c r="J247" s="59">
        <v>0</v>
      </c>
      <c r="K247" s="59">
        <v>5712.6255705952644</v>
      </c>
      <c r="L247" s="59">
        <v>0</v>
      </c>
      <c r="M247" s="11">
        <v>0.87446898221969604</v>
      </c>
      <c r="N247" s="11">
        <v>0.74487274885177612</v>
      </c>
      <c r="O247" s="11">
        <v>0.31850355863571167</v>
      </c>
      <c r="Q247" s="59">
        <v>15.237362699581874</v>
      </c>
      <c r="R247" s="78">
        <v>537.47564314883459</v>
      </c>
      <c r="S247" s="78">
        <v>15.292638461466529</v>
      </c>
      <c r="T247" s="78">
        <v>616.36050599371754</v>
      </c>
      <c r="U247" s="78">
        <v>5.5275761884654884E-2</v>
      </c>
      <c r="V247" s="78">
        <v>78.884862844882946</v>
      </c>
      <c r="Y247" s="28"/>
      <c r="Z247" s="28"/>
      <c r="AK247" s="28"/>
      <c r="AS247" s="28"/>
      <c r="AT247" s="28"/>
    </row>
    <row r="248" spans="3:46" x14ac:dyDescent="0.15">
      <c r="C248" s="11">
        <v>7.8903138637542725E-3</v>
      </c>
      <c r="D248" s="11">
        <v>1.6822084784507751E-2</v>
      </c>
      <c r="E248" s="11">
        <v>0.25380619977299079</v>
      </c>
      <c r="F248" s="11">
        <v>0</v>
      </c>
      <c r="G248" s="11">
        <v>6.0295224189758301E-2</v>
      </c>
      <c r="H248" s="40">
        <v>5.5866091695825379E-4</v>
      </c>
      <c r="I248" s="40">
        <v>1.4157105569358384</v>
      </c>
      <c r="J248" s="59">
        <v>0</v>
      </c>
      <c r="K248" s="59">
        <v>4204.8236355185509</v>
      </c>
      <c r="L248" s="59">
        <v>0</v>
      </c>
      <c r="M248" s="11">
        <v>0.83054578304290771</v>
      </c>
      <c r="N248" s="11">
        <v>0.76584517955780029</v>
      </c>
      <c r="O248" s="11">
        <v>0.30490076541900635</v>
      </c>
      <c r="Q248" s="59">
        <v>14.498248881747786</v>
      </c>
      <c r="R248" s="78">
        <v>508.96376678897929</v>
      </c>
      <c r="S248" s="78">
        <v>14.54008097964153</v>
      </c>
      <c r="T248" s="78">
        <v>608.61962428591369</v>
      </c>
      <c r="U248" s="78">
        <v>4.1832097893744091E-2</v>
      </c>
      <c r="V248" s="78">
        <v>99.655857496934402</v>
      </c>
      <c r="Y248" s="28"/>
      <c r="Z248" s="28"/>
      <c r="AK248" s="28"/>
      <c r="AS248" s="28"/>
      <c r="AT248" s="28"/>
    </row>
    <row r="249" spans="3:46" x14ac:dyDescent="0.15">
      <c r="C249" s="11">
        <v>5.4053813219070435E-3</v>
      </c>
      <c r="D249" s="11">
        <v>1.6715303063392639E-2</v>
      </c>
      <c r="E249" s="11">
        <v>0.17577929865036299</v>
      </c>
      <c r="F249" s="11">
        <v>0</v>
      </c>
      <c r="G249" s="11">
        <v>6.2385439872741699E-2</v>
      </c>
      <c r="H249" s="40">
        <v>4.4775743860177221E-4</v>
      </c>
      <c r="I249" s="40">
        <v>1.3988743982989782</v>
      </c>
      <c r="J249" s="59">
        <v>0</v>
      </c>
      <c r="K249" s="59">
        <v>6083.2034796476364</v>
      </c>
      <c r="L249" s="59">
        <v>0</v>
      </c>
      <c r="M249" s="11">
        <v>0.83419764041900635</v>
      </c>
      <c r="N249" s="11">
        <v>0.71224379539489746</v>
      </c>
      <c r="O249" s="11">
        <v>0.30869841575622559</v>
      </c>
      <c r="Q249" s="59">
        <v>14.597745447599618</v>
      </c>
      <c r="R249" s="78">
        <v>523.05736125698297</v>
      </c>
      <c r="S249" s="78">
        <v>14.645007597216267</v>
      </c>
      <c r="T249" s="78">
        <v>601.97205699146298</v>
      </c>
      <c r="U249" s="78">
        <v>4.7262149616649651E-2</v>
      </c>
      <c r="V249" s="78">
        <v>78.914695734480006</v>
      </c>
      <c r="Y249" s="28"/>
      <c r="Z249" s="28"/>
      <c r="AK249" s="28"/>
      <c r="AS249" s="28"/>
      <c r="AT249" s="28"/>
    </row>
    <row r="250" spans="3:46" x14ac:dyDescent="0.15">
      <c r="C250" s="11">
        <v>1.291172206401825E-2</v>
      </c>
      <c r="D250" s="11">
        <v>2.6015520095825195E-2</v>
      </c>
      <c r="E250" s="11">
        <v>0.31171134485877644</v>
      </c>
      <c r="F250" s="11">
        <v>0</v>
      </c>
      <c r="G250" s="11">
        <v>1.1359572410583496E-2</v>
      </c>
      <c r="H250" s="40">
        <v>4.2559267904821553E-4</v>
      </c>
      <c r="I250" s="40">
        <v>1.5724865304065296</v>
      </c>
      <c r="J250" s="59">
        <v>0</v>
      </c>
      <c r="K250" s="59">
        <v>3808.7810389697552</v>
      </c>
      <c r="L250" s="59">
        <v>0</v>
      </c>
      <c r="M250" s="11">
        <v>0.751922607421875</v>
      </c>
      <c r="N250" s="11">
        <v>0.82712745666503906</v>
      </c>
      <c r="O250" s="11">
        <v>0.31131809949874878</v>
      </c>
      <c r="Q250" s="59">
        <v>13.109310617039419</v>
      </c>
      <c r="R250" s="78">
        <v>490.04655304182347</v>
      </c>
      <c r="S250" s="78">
        <v>13.109837916763707</v>
      </c>
      <c r="T250" s="78">
        <v>609.51704258954101</v>
      </c>
      <c r="U250" s="78">
        <v>5.2729972428799954E-4</v>
      </c>
      <c r="V250" s="78">
        <v>119.47048954771753</v>
      </c>
      <c r="Y250" s="28"/>
      <c r="Z250" s="28"/>
      <c r="AK250" s="28"/>
      <c r="AS250" s="28"/>
      <c r="AT250" s="28"/>
    </row>
    <row r="251" spans="3:46" x14ac:dyDescent="0.15">
      <c r="C251" s="11">
        <v>8.0978274345397949E-3</v>
      </c>
      <c r="D251" s="11">
        <v>1.8512949347496033E-2</v>
      </c>
      <c r="E251" s="11">
        <v>0.49504234341057179</v>
      </c>
      <c r="F251" s="11">
        <v>0</v>
      </c>
      <c r="G251" s="11">
        <v>4.4411271810531616E-2</v>
      </c>
      <c r="H251" s="40">
        <v>4.1377035687794862E-4</v>
      </c>
      <c r="I251" s="40">
        <v>1.4949186337808991</v>
      </c>
      <c r="J251" s="59">
        <v>0</v>
      </c>
      <c r="K251" s="59">
        <v>7187.8451853990555</v>
      </c>
      <c r="L251" s="59">
        <v>0</v>
      </c>
      <c r="M251" s="11">
        <v>0.87750297784805298</v>
      </c>
      <c r="N251" s="11">
        <v>0.69578158855438232</v>
      </c>
      <c r="O251" s="11">
        <v>0.267403244972229</v>
      </c>
      <c r="Q251" s="59">
        <v>15.283355498013727</v>
      </c>
      <c r="R251" s="78">
        <v>564.30530789551096</v>
      </c>
      <c r="S251" s="78">
        <v>15.32877275206539</v>
      </c>
      <c r="T251" s="78">
        <v>664.15848311449747</v>
      </c>
      <c r="U251" s="78">
        <v>4.5417254051663747E-2</v>
      </c>
      <c r="V251" s="78">
        <v>99.853175218986507</v>
      </c>
      <c r="Y251" s="28"/>
      <c r="Z251" s="28"/>
      <c r="AK251" s="28"/>
      <c r="AS251" s="28"/>
      <c r="AT251" s="28"/>
    </row>
    <row r="252" spans="3:46" x14ac:dyDescent="0.15">
      <c r="C252" s="11">
        <v>1.8005639314651489E-2</v>
      </c>
      <c r="D252" s="11">
        <v>7.1125984191894531E-2</v>
      </c>
      <c r="E252" s="11">
        <v>0.21362329227484006</v>
      </c>
      <c r="F252" s="11">
        <v>0</v>
      </c>
      <c r="G252" s="11">
        <v>3.5647958517074585E-2</v>
      </c>
      <c r="H252" s="40">
        <v>4.2331038335968242E-4</v>
      </c>
      <c r="I252" s="40">
        <v>1.5289956686800474</v>
      </c>
      <c r="J252" s="59">
        <v>0</v>
      </c>
      <c r="K252" s="59">
        <v>6555.2676096558571</v>
      </c>
      <c r="L252" s="59">
        <v>0</v>
      </c>
      <c r="M252" s="11">
        <v>0.87501740455627441</v>
      </c>
      <c r="N252" s="11">
        <v>0.76094961166381836</v>
      </c>
      <c r="O252" s="11">
        <v>0.29671549797058105</v>
      </c>
      <c r="Q252" s="59">
        <v>15.083879295651302</v>
      </c>
      <c r="R252" s="78">
        <v>557.76777773063054</v>
      </c>
      <c r="S252" s="78">
        <v>15.157193733767686</v>
      </c>
      <c r="T252" s="78">
        <v>614.62822052780461</v>
      </c>
      <c r="U252" s="78">
        <v>7.331443811638394E-2</v>
      </c>
      <c r="V252" s="78">
        <v>56.860442797174073</v>
      </c>
      <c r="Y252" s="28"/>
      <c r="Z252" s="28"/>
      <c r="AK252" s="28"/>
      <c r="AS252" s="28"/>
      <c r="AT252" s="28"/>
    </row>
    <row r="253" spans="3:46" x14ac:dyDescent="0.15">
      <c r="C253" s="11">
        <v>1.1985406279563904E-2</v>
      </c>
      <c r="D253" s="11">
        <v>1.1472731828689575E-2</v>
      </c>
      <c r="E253" s="11">
        <v>0.2360542835712989</v>
      </c>
      <c r="F253" s="11">
        <v>0</v>
      </c>
      <c r="G253" s="11">
        <v>5.9408009052276611E-2</v>
      </c>
      <c r="H253" s="40">
        <v>5.0133495115226078E-4</v>
      </c>
      <c r="I253" s="40">
        <v>1.4329560328509539</v>
      </c>
      <c r="J253" s="59">
        <v>0</v>
      </c>
      <c r="K253" s="59">
        <v>4371.3790364563465</v>
      </c>
      <c r="L253" s="59">
        <v>0</v>
      </c>
      <c r="M253" s="11">
        <v>0.82620501518249512</v>
      </c>
      <c r="N253" s="11">
        <v>0.74457216262817383</v>
      </c>
      <c r="O253" s="11">
        <v>0.31995046138763428</v>
      </c>
      <c r="Q253" s="59">
        <v>14.363571111148232</v>
      </c>
      <c r="R253" s="78">
        <v>506.21816553038639</v>
      </c>
      <c r="S253" s="78">
        <v>14.405553335404333</v>
      </c>
      <c r="T253" s="78">
        <v>605.88061440577371</v>
      </c>
      <c r="U253" s="78">
        <v>4.1982224256100764E-2</v>
      </c>
      <c r="V253" s="78">
        <v>99.662448875387327</v>
      </c>
      <c r="Y253" s="28"/>
      <c r="Z253" s="28"/>
      <c r="AK253" s="28"/>
      <c r="AS253" s="28"/>
      <c r="AT253" s="28"/>
    </row>
    <row r="254" spans="3:46" x14ac:dyDescent="0.15">
      <c r="C254" s="11">
        <v>3.6192059516906738E-2</v>
      </c>
      <c r="D254" s="11">
        <v>1.0673016309738159E-2</v>
      </c>
      <c r="E254" s="11">
        <v>0.2087957393141297</v>
      </c>
      <c r="F254" s="11">
        <v>0</v>
      </c>
      <c r="G254" s="11">
        <v>6.6716432571411133E-2</v>
      </c>
      <c r="H254" s="40">
        <v>3.8217620210343834E-4</v>
      </c>
      <c r="I254" s="40">
        <v>1.5316675784671987</v>
      </c>
      <c r="J254" s="59">
        <v>0</v>
      </c>
      <c r="K254" s="59">
        <v>4873.4503798186779</v>
      </c>
      <c r="L254" s="59">
        <v>0</v>
      </c>
      <c r="M254" s="11">
        <v>0.8319011926651001</v>
      </c>
      <c r="N254" s="11">
        <v>0.70769155025482178</v>
      </c>
      <c r="O254" s="11">
        <v>0.28906857967376709</v>
      </c>
      <c r="Q254" s="59">
        <v>14.091736831106964</v>
      </c>
      <c r="R254" s="78">
        <v>522.01898182566117</v>
      </c>
      <c r="S254" s="78">
        <v>14.147464282455118</v>
      </c>
      <c r="T254" s="78">
        <v>606.16753790138205</v>
      </c>
      <c r="U254" s="78">
        <v>5.5727451348154489E-2</v>
      </c>
      <c r="V254" s="78">
        <v>84.148556075720876</v>
      </c>
      <c r="Y254" s="28"/>
      <c r="Z254" s="28"/>
      <c r="AK254" s="28"/>
      <c r="AS254" s="28"/>
      <c r="AT254" s="28"/>
    </row>
    <row r="255" spans="3:46" x14ac:dyDescent="0.15">
      <c r="C255" s="11">
        <v>3.836899995803833E-2</v>
      </c>
      <c r="D255" s="11">
        <v>3.7558674812316895E-2</v>
      </c>
      <c r="E255" s="11">
        <v>0.3016829378467164</v>
      </c>
      <c r="F255" s="11">
        <v>0</v>
      </c>
      <c r="G255" s="11">
        <v>2.6116311550140381E-2</v>
      </c>
      <c r="H255" s="40">
        <v>4.8688297499620118E-4</v>
      </c>
      <c r="I255" s="40">
        <v>1.496233445162239</v>
      </c>
      <c r="J255" s="59">
        <v>0</v>
      </c>
      <c r="K255" s="59">
        <v>3573.4148696064949</v>
      </c>
      <c r="L255" s="59">
        <v>0</v>
      </c>
      <c r="M255" s="11">
        <v>0.82366251945495605</v>
      </c>
      <c r="N255" s="11">
        <v>0.77793782949447632</v>
      </c>
      <c r="O255" s="11">
        <v>0.30314385890960693</v>
      </c>
      <c r="Q255" s="59">
        <v>13.935972126292011</v>
      </c>
      <c r="R255" s="78">
        <v>481.48237475103645</v>
      </c>
      <c r="S255" s="78">
        <v>13.973793496872416</v>
      </c>
      <c r="T255" s="78">
        <v>605.83679697422986</v>
      </c>
      <c r="U255" s="78">
        <v>3.782137058040469E-2</v>
      </c>
      <c r="V255" s="78">
        <v>124.35442222319341</v>
      </c>
      <c r="Y255" s="28"/>
      <c r="Z255" s="28"/>
      <c r="AK255" s="28"/>
      <c r="AS255" s="28"/>
      <c r="AT255" s="28"/>
    </row>
    <row r="256" spans="3:46" x14ac:dyDescent="0.15">
      <c r="C256" s="11">
        <v>4.1451215744018555E-2</v>
      </c>
      <c r="D256" s="11">
        <v>8.5793286561965942E-3</v>
      </c>
      <c r="E256" s="11">
        <v>0.3009915462913666</v>
      </c>
      <c r="F256" s="11">
        <v>0</v>
      </c>
      <c r="G256" s="11">
        <v>1.2676119804382324E-2</v>
      </c>
      <c r="H256" s="40">
        <v>4.2890203116611103E-4</v>
      </c>
      <c r="I256" s="40">
        <v>1.4811495581509697</v>
      </c>
      <c r="J256" s="59">
        <v>0</v>
      </c>
      <c r="K256" s="59">
        <v>4515.5198313295841</v>
      </c>
      <c r="L256" s="59">
        <v>0</v>
      </c>
      <c r="M256" s="11">
        <v>0.84868675470352173</v>
      </c>
      <c r="N256" s="11">
        <v>0.756572425365448</v>
      </c>
      <c r="O256" s="11">
        <v>0.30201852321624756</v>
      </c>
      <c r="Q256" s="59">
        <v>14.318847198732625</v>
      </c>
      <c r="R256" s="78">
        <v>480.46482951765142</v>
      </c>
      <c r="S256" s="78">
        <v>14.353971025060284</v>
      </c>
      <c r="T256" s="78">
        <v>605.39827223340137</v>
      </c>
      <c r="U256" s="78">
        <v>3.5123826327659202E-2</v>
      </c>
      <c r="V256" s="78">
        <v>124.93344271574995</v>
      </c>
      <c r="Y256" s="28"/>
      <c r="Z256" s="28"/>
      <c r="AK256" s="28"/>
      <c r="AS256" s="28"/>
      <c r="AT256" s="28"/>
    </row>
    <row r="257" spans="3:46" x14ac:dyDescent="0.15">
      <c r="C257" s="11">
        <v>2.0156532526016235E-2</v>
      </c>
      <c r="D257" s="11">
        <v>1.6585171222686768E-2</v>
      </c>
      <c r="E257" s="11">
        <v>0.40970780628675202</v>
      </c>
      <c r="F257" s="11">
        <v>0</v>
      </c>
      <c r="G257" s="11">
        <v>4.5287549495697021E-2</v>
      </c>
      <c r="H257" s="40">
        <v>3.8226186936409287E-4</v>
      </c>
      <c r="I257" s="40">
        <v>1.5232780847677976</v>
      </c>
      <c r="J257" s="59">
        <v>0</v>
      </c>
      <c r="K257" s="59">
        <v>4748.879000544548</v>
      </c>
      <c r="L257" s="59">
        <v>0</v>
      </c>
      <c r="M257" s="11">
        <v>0.85990586876869202</v>
      </c>
      <c r="N257" s="11">
        <v>0.70766007900238037</v>
      </c>
      <c r="O257" s="11">
        <v>0.33107709884643555</v>
      </c>
      <c r="Q257" s="59">
        <v>14.805730473096006</v>
      </c>
      <c r="R257" s="78">
        <v>506.09717679917389</v>
      </c>
      <c r="S257" s="78">
        <v>14.850820150935157</v>
      </c>
      <c r="T257" s="78">
        <v>625.47988195101107</v>
      </c>
      <c r="U257" s="78">
        <v>4.5089677839150966E-2</v>
      </c>
      <c r="V257" s="78">
        <v>119.38270515183717</v>
      </c>
      <c r="Y257" s="28"/>
      <c r="Z257" s="28"/>
      <c r="AK257" s="28"/>
      <c r="AS257" s="28"/>
      <c r="AT257" s="28"/>
    </row>
    <row r="258" spans="3:46" x14ac:dyDescent="0.15">
      <c r="C258" s="11">
        <v>1.349174976348877E-2</v>
      </c>
      <c r="D258" s="11">
        <v>2.4619489908218384E-2</v>
      </c>
      <c r="E258" s="11">
        <v>0.17313660581890672</v>
      </c>
      <c r="F258" s="11">
        <v>0</v>
      </c>
      <c r="G258" s="11">
        <v>4.5993417501449585E-2</v>
      </c>
      <c r="H258" s="40">
        <v>4.3671521136478739E-4</v>
      </c>
      <c r="I258" s="40">
        <v>1.4771690301301037</v>
      </c>
      <c r="J258" s="59">
        <v>0</v>
      </c>
      <c r="K258" s="59">
        <v>5944.4550424814224</v>
      </c>
      <c r="L258" s="59">
        <v>0</v>
      </c>
      <c r="M258" s="11">
        <v>0.82116711139678955</v>
      </c>
      <c r="N258" s="11">
        <v>0.79960453510284424</v>
      </c>
      <c r="O258" s="11">
        <v>0.31228309869766235</v>
      </c>
      <c r="Q258" s="59">
        <v>14.269575177151131</v>
      </c>
      <c r="R258" s="78">
        <v>535.19175855338949</v>
      </c>
      <c r="S258" s="78">
        <v>14.30208129538671</v>
      </c>
      <c r="T258" s="78">
        <v>603.84785616902366</v>
      </c>
      <c r="U258" s="78">
        <v>3.2506118235579251E-2</v>
      </c>
      <c r="V258" s="78">
        <v>68.656097615634167</v>
      </c>
      <c r="Y258" s="28"/>
      <c r="Z258" s="28"/>
      <c r="AK258" s="28"/>
      <c r="AS258" s="28"/>
      <c r="AT258" s="28"/>
    </row>
    <row r="259" spans="3:46" x14ac:dyDescent="0.15">
      <c r="C259" s="11">
        <v>1.568526029586792E-2</v>
      </c>
      <c r="D259" s="11">
        <v>6.0262382030487061E-3</v>
      </c>
      <c r="E259" s="11">
        <v>0.50537870134031471</v>
      </c>
      <c r="F259" s="11">
        <v>0</v>
      </c>
      <c r="G259" s="11">
        <v>3.0123412609100342E-2</v>
      </c>
      <c r="H259" s="40">
        <v>3.459018519486069E-4</v>
      </c>
      <c r="I259" s="40">
        <v>1.5295224826645384</v>
      </c>
      <c r="J259" s="59">
        <v>0</v>
      </c>
      <c r="K259" s="59">
        <v>6789.4486710429192</v>
      </c>
      <c r="L259" s="59">
        <v>0</v>
      </c>
      <c r="M259" s="11">
        <v>0.82671713829040527</v>
      </c>
      <c r="N259" s="11">
        <v>0.81799697875976562</v>
      </c>
      <c r="O259" s="11">
        <v>0.24920356273651123</v>
      </c>
      <c r="Q259" s="59">
        <v>14.346094232704214</v>
      </c>
      <c r="R259" s="78">
        <v>531.79160229592947</v>
      </c>
      <c r="S259" s="78">
        <v>14.359593121688151</v>
      </c>
      <c r="T259" s="78">
        <v>649.29543874103751</v>
      </c>
      <c r="U259" s="78">
        <v>1.3498888983937363E-2</v>
      </c>
      <c r="V259" s="78">
        <v>117.50383644510805</v>
      </c>
      <c r="Y259" s="28"/>
      <c r="Z259" s="28"/>
      <c r="AK259" s="28"/>
      <c r="AS259" s="28"/>
      <c r="AT259" s="28"/>
    </row>
    <row r="260" spans="3:46" x14ac:dyDescent="0.15">
      <c r="C260" s="11">
        <v>2.1903574466705322E-2</v>
      </c>
      <c r="D260" s="11">
        <v>1.3035133481025696E-2</v>
      </c>
      <c r="E260" s="11">
        <v>0.17559251994992281</v>
      </c>
      <c r="F260" s="11">
        <v>0</v>
      </c>
      <c r="G260" s="11">
        <v>2.1148651838302612E-2</v>
      </c>
      <c r="H260" s="40">
        <v>4.4958324603300016E-4</v>
      </c>
      <c r="I260" s="40">
        <v>1.4391881086377778</v>
      </c>
      <c r="J260" s="59">
        <v>0</v>
      </c>
      <c r="K260" s="59">
        <v>3767.6445208489895</v>
      </c>
      <c r="L260" s="59">
        <v>0</v>
      </c>
      <c r="M260" s="11">
        <v>0.87724995613098145</v>
      </c>
      <c r="N260" s="11">
        <v>0.74451541900634766</v>
      </c>
      <c r="O260" s="11">
        <v>0.28383201360702515</v>
      </c>
      <c r="Q260" s="59">
        <v>15.092493919949357</v>
      </c>
      <c r="R260" s="78">
        <v>465.88890879924287</v>
      </c>
      <c r="S260" s="78">
        <v>15.144630723603694</v>
      </c>
      <c r="T260" s="78">
        <v>591.81470804019079</v>
      </c>
      <c r="U260" s="78">
        <v>5.2136803654336816E-2</v>
      </c>
      <c r="V260" s="78">
        <v>125.92579924094792</v>
      </c>
      <c r="Y260" s="28"/>
      <c r="Z260" s="28"/>
      <c r="AK260" s="28"/>
      <c r="AS260" s="28"/>
      <c r="AT260" s="28"/>
    </row>
    <row r="261" spans="3:46" x14ac:dyDescent="0.15">
      <c r="C261" s="11">
        <v>1.7020225524902344E-2</v>
      </c>
      <c r="D261" s="11">
        <v>1.8559232354164124E-2</v>
      </c>
      <c r="E261" s="11">
        <v>0.44677026692172711</v>
      </c>
      <c r="F261" s="11">
        <v>0</v>
      </c>
      <c r="G261" s="11">
        <v>4.0257483720779419E-2</v>
      </c>
      <c r="H261" s="40">
        <v>7.6117813448881597E-4</v>
      </c>
      <c r="I261" s="40">
        <v>1.3775329141745603</v>
      </c>
      <c r="J261" s="59">
        <v>0</v>
      </c>
      <c r="K261" s="59">
        <v>4312.1236376464367</v>
      </c>
      <c r="L261" s="59">
        <v>0</v>
      </c>
      <c r="M261" s="11">
        <v>0.89268696308135986</v>
      </c>
      <c r="N261" s="11">
        <v>0.78226941823959351</v>
      </c>
      <c r="O261" s="11">
        <v>0.27531474828720093</v>
      </c>
      <c r="Q261" s="59">
        <v>15.411773844237661</v>
      </c>
      <c r="R261" s="78">
        <v>522.76961109412719</v>
      </c>
      <c r="S261" s="78">
        <v>15.459784956037636</v>
      </c>
      <c r="T261" s="78">
        <v>637.30889712953581</v>
      </c>
      <c r="U261" s="78">
        <v>4.8011111799974415E-2</v>
      </c>
      <c r="V261" s="78">
        <v>114.53928603540862</v>
      </c>
      <c r="Y261" s="28"/>
      <c r="Z261" s="28"/>
      <c r="AK261" s="28"/>
      <c r="AS261" s="28"/>
      <c r="AT261" s="28"/>
    </row>
    <row r="262" spans="3:46" x14ac:dyDescent="0.15">
      <c r="C262" s="11">
        <v>1.7698556184768677E-2</v>
      </c>
      <c r="D262" s="11">
        <v>4.1511356830596924E-3</v>
      </c>
      <c r="E262" s="11">
        <v>0.32750297632710501</v>
      </c>
      <c r="F262" s="11">
        <v>0</v>
      </c>
      <c r="G262" s="11">
        <v>2.7415663003921509E-2</v>
      </c>
      <c r="H262" s="40">
        <v>6.9691033022859102E-4</v>
      </c>
      <c r="I262" s="40">
        <v>1.3811252938811809</v>
      </c>
      <c r="J262" s="59">
        <v>0</v>
      </c>
      <c r="K262" s="59">
        <v>7883.9436173439026</v>
      </c>
      <c r="L262" s="59">
        <v>0</v>
      </c>
      <c r="M262" s="11">
        <v>0.84922444820404053</v>
      </c>
      <c r="N262" s="11">
        <v>0.76012885570526123</v>
      </c>
      <c r="O262" s="11">
        <v>0.29571583867073059</v>
      </c>
      <c r="Q262" s="59">
        <v>14.672621385025188</v>
      </c>
      <c r="R262" s="78">
        <v>598.08257041812783</v>
      </c>
      <c r="S262" s="78">
        <v>14.714107133440709</v>
      </c>
      <c r="T262" s="78">
        <v>646.87296952287295</v>
      </c>
      <c r="U262" s="78">
        <v>4.1485748415521329E-2</v>
      </c>
      <c r="V262" s="78">
        <v>48.79039910474512</v>
      </c>
      <c r="Y262" s="28"/>
      <c r="Z262" s="28"/>
      <c r="AK262" s="28"/>
      <c r="AS262" s="28"/>
      <c r="AT262" s="28"/>
    </row>
    <row r="263" spans="3:46" x14ac:dyDescent="0.15">
      <c r="C263" s="11">
        <v>1.308971643447876E-2</v>
      </c>
      <c r="D263" s="11">
        <v>9.4942748546600342E-3</v>
      </c>
      <c r="E263" s="11">
        <v>0.34439620769366652</v>
      </c>
      <c r="F263" s="11">
        <v>0</v>
      </c>
      <c r="G263" s="11">
        <v>4.1480541229248047E-2</v>
      </c>
      <c r="H263" s="40">
        <v>3.2722180090087941E-4</v>
      </c>
      <c r="I263" s="40">
        <v>1.5169884745818338</v>
      </c>
      <c r="J263" s="59">
        <v>0</v>
      </c>
      <c r="K263" s="59">
        <v>5698.1761008501053</v>
      </c>
      <c r="L263" s="59">
        <v>0</v>
      </c>
      <c r="M263" s="11">
        <v>0.86355292797088623</v>
      </c>
      <c r="N263" s="11">
        <v>0.76171636581420898</v>
      </c>
      <c r="O263" s="11">
        <v>0.30829590559005737</v>
      </c>
      <c r="Q263" s="59">
        <v>15.002471640123947</v>
      </c>
      <c r="R263" s="78">
        <v>506.32102115558769</v>
      </c>
      <c r="S263" s="78">
        <v>15.035869622578804</v>
      </c>
      <c r="T263" s="78">
        <v>618.11830381903894</v>
      </c>
      <c r="U263" s="78">
        <v>3.3397982454857811E-2</v>
      </c>
      <c r="V263" s="78">
        <v>111.79728266345126</v>
      </c>
      <c r="Y263" s="28"/>
      <c r="Z263" s="28"/>
      <c r="AK263" s="28"/>
      <c r="AS263" s="28"/>
      <c r="AT263" s="28"/>
    </row>
    <row r="264" spans="3:46" x14ac:dyDescent="0.15">
      <c r="C264" s="11">
        <v>3.1139135360717773E-2</v>
      </c>
      <c r="D264" s="11">
        <v>4.0520906448364258E-2</v>
      </c>
      <c r="E264" s="11">
        <v>0.33623029376349484</v>
      </c>
      <c r="F264" s="11">
        <v>0</v>
      </c>
      <c r="G264" s="11">
        <v>8.4599018096923828E-2</v>
      </c>
      <c r="H264" s="40">
        <v>5.2751238045457437E-4</v>
      </c>
      <c r="I264" s="40">
        <v>1.4445901409813906</v>
      </c>
      <c r="J264" s="59">
        <v>0</v>
      </c>
      <c r="K264" s="59">
        <v>5214.5379595458508</v>
      </c>
      <c r="L264" s="59">
        <v>0</v>
      </c>
      <c r="M264" s="11">
        <v>0.87374371290206909</v>
      </c>
      <c r="N264" s="11">
        <v>0.67954158782958984</v>
      </c>
      <c r="O264" s="11">
        <v>0.34654545783996582</v>
      </c>
      <c r="Q264" s="59">
        <v>14.842861790760843</v>
      </c>
      <c r="R264" s="78">
        <v>549.98675219314714</v>
      </c>
      <c r="S264" s="78">
        <v>14.915286918773969</v>
      </c>
      <c r="T264" s="78">
        <v>632.17217472306527</v>
      </c>
      <c r="U264" s="78">
        <v>7.2425128013126283E-2</v>
      </c>
      <c r="V264" s="78">
        <v>82.185422529918128</v>
      </c>
      <c r="Y264" s="28"/>
      <c r="Z264" s="28"/>
      <c r="AK264" s="28"/>
      <c r="AS264" s="28"/>
      <c r="AT264" s="28"/>
    </row>
    <row r="265" spans="3:46" x14ac:dyDescent="0.15">
      <c r="C265" s="11">
        <v>1.8555521965026855E-2</v>
      </c>
      <c r="D265" s="11">
        <v>1.5861034393310547E-2</v>
      </c>
      <c r="E265" s="11">
        <v>0.14190094672710277</v>
      </c>
      <c r="F265" s="11">
        <v>0</v>
      </c>
      <c r="G265" s="11">
        <v>3.0454635620117188E-2</v>
      </c>
      <c r="H265" s="40">
        <v>5.7511260259216293E-4</v>
      </c>
      <c r="I265" s="40">
        <v>1.3978863512921753</v>
      </c>
      <c r="J265" s="59">
        <v>0</v>
      </c>
      <c r="K265" s="59">
        <v>3551.4216870069504</v>
      </c>
      <c r="L265" s="59">
        <v>0</v>
      </c>
      <c r="M265" s="11">
        <v>0.85486817359924316</v>
      </c>
      <c r="N265" s="11">
        <v>0.74930942058563232</v>
      </c>
      <c r="O265" s="11">
        <v>0.29455029964447021</v>
      </c>
      <c r="Q265" s="59">
        <v>14.75593802999812</v>
      </c>
      <c r="R265" s="78">
        <v>475.03182259231596</v>
      </c>
      <c r="S265" s="78">
        <v>14.810592730727869</v>
      </c>
      <c r="T265" s="78">
        <v>590.697589440721</v>
      </c>
      <c r="U265" s="78">
        <v>5.4654700729749095E-2</v>
      </c>
      <c r="V265" s="78">
        <v>115.66576684840504</v>
      </c>
      <c r="Y265" s="28"/>
      <c r="Z265" s="28"/>
      <c r="AK265" s="28"/>
      <c r="AS265" s="28"/>
      <c r="AT265" s="28"/>
    </row>
    <row r="266" spans="3:46" x14ac:dyDescent="0.15">
      <c r="C266" s="11">
        <v>1.9953280687332153E-2</v>
      </c>
      <c r="D266" s="11">
        <v>2.8590500354766846E-2</v>
      </c>
      <c r="E266" s="11">
        <v>0.13427799163831128</v>
      </c>
      <c r="F266" s="11">
        <v>0</v>
      </c>
      <c r="G266" s="11">
        <v>3.1055271625518799E-2</v>
      </c>
      <c r="H266" s="40">
        <v>3.4231418286742452E-4</v>
      </c>
      <c r="I266" s="40">
        <v>1.6618607307393209</v>
      </c>
      <c r="J266" s="59">
        <v>0</v>
      </c>
      <c r="K266" s="59">
        <v>8966.4384722709656</v>
      </c>
      <c r="L266" s="59">
        <v>0</v>
      </c>
      <c r="M266" s="11">
        <v>0.88417333364486694</v>
      </c>
      <c r="N266" s="11">
        <v>0.74093574285507202</v>
      </c>
      <c r="O266" s="11">
        <v>0.29320830106735229</v>
      </c>
      <c r="Q266" s="59">
        <v>15.199534149841254</v>
      </c>
      <c r="R266" s="78">
        <v>656.37798417927422</v>
      </c>
      <c r="S266" s="78">
        <v>15.291304817743949</v>
      </c>
      <c r="T266" s="78">
        <v>615.15738262781406</v>
      </c>
      <c r="U266" s="78">
        <v>9.177066790269528E-2</v>
      </c>
      <c r="V266" s="78">
        <v>-41.220601551460163</v>
      </c>
      <c r="Y266" s="28"/>
      <c r="Z266" s="28"/>
      <c r="AK266" s="28"/>
      <c r="AS266" s="28"/>
      <c r="AT266" s="28"/>
    </row>
    <row r="267" spans="3:46" x14ac:dyDescent="0.15">
      <c r="C267" s="11">
        <v>2.9958486557006836E-3</v>
      </c>
      <c r="D267" s="11">
        <v>3.5423338413238525E-2</v>
      </c>
      <c r="E267" s="11">
        <v>0.25154648940497332</v>
      </c>
      <c r="F267" s="11">
        <v>0</v>
      </c>
      <c r="G267" s="11">
        <v>4.7000229358673096E-2</v>
      </c>
      <c r="H267" s="40">
        <v>4.1012646847536004E-4</v>
      </c>
      <c r="I267" s="40">
        <v>1.4547524257328617</v>
      </c>
      <c r="J267" s="59">
        <v>0</v>
      </c>
      <c r="K267" s="59">
        <v>3767.1485915780067</v>
      </c>
      <c r="L267" s="59">
        <v>0</v>
      </c>
      <c r="M267" s="11">
        <v>0.85997551679611206</v>
      </c>
      <c r="N267" s="11">
        <v>0.77034395933151245</v>
      </c>
      <c r="O267" s="11">
        <v>0.28023886680603027</v>
      </c>
      <c r="Q267" s="59">
        <v>15.084915710369009</v>
      </c>
      <c r="R267" s="78">
        <v>473.8446891101766</v>
      </c>
      <c r="S267" s="78">
        <v>15.129462072096842</v>
      </c>
      <c r="T267" s="78">
        <v>599.3441642982865</v>
      </c>
      <c r="U267" s="78">
        <v>4.4546361727833883E-2</v>
      </c>
      <c r="V267" s="78">
        <v>125.4994751881099</v>
      </c>
      <c r="Y267" s="28"/>
      <c r="Z267" s="28"/>
      <c r="AK267" s="28"/>
      <c r="AS267" s="28"/>
      <c r="AT267" s="28"/>
    </row>
    <row r="268" spans="3:46" x14ac:dyDescent="0.15">
      <c r="C268" s="11">
        <v>9.3418508768081665E-3</v>
      </c>
      <c r="D268" s="11">
        <v>3.6087572574615479E-2</v>
      </c>
      <c r="E268" s="11">
        <v>0.27647461276716556</v>
      </c>
      <c r="F268" s="11">
        <v>0</v>
      </c>
      <c r="G268" s="11">
        <v>2.7365595102310181E-2</v>
      </c>
      <c r="H268" s="40">
        <v>4.5820461618982121E-4</v>
      </c>
      <c r="I268" s="40">
        <v>1.3926160709000042</v>
      </c>
      <c r="J268" s="59">
        <v>0</v>
      </c>
      <c r="K268" s="59">
        <v>3278.1017944216728</v>
      </c>
      <c r="L268" s="59">
        <v>0</v>
      </c>
      <c r="M268" s="11">
        <v>0.847799152135849</v>
      </c>
      <c r="N268" s="11">
        <v>0.69369173049926758</v>
      </c>
      <c r="O268" s="11">
        <v>0.31996673345565796</v>
      </c>
      <c r="Q268" s="59">
        <v>14.769152019724006</v>
      </c>
      <c r="R268" s="78">
        <v>452.2408693672013</v>
      </c>
      <c r="S268" s="78">
        <v>14.816757101767605</v>
      </c>
      <c r="T268" s="78">
        <v>595.28644564766273</v>
      </c>
      <c r="U268" s="78">
        <v>4.7605082043599367E-2</v>
      </c>
      <c r="V268" s="78">
        <v>143.04557628046143</v>
      </c>
      <c r="Y268" s="28"/>
      <c r="Z268" s="28"/>
      <c r="AK268" s="28"/>
      <c r="AS268" s="28"/>
      <c r="AT268" s="28"/>
    </row>
    <row r="269" spans="3:46" x14ac:dyDescent="0.15">
      <c r="C269" s="11">
        <v>6.0558319091796875E-2</v>
      </c>
      <c r="D269" s="11">
        <v>2.3124516010284424E-2</v>
      </c>
      <c r="E269" s="11">
        <v>0.20454799206432797</v>
      </c>
      <c r="F269" s="11">
        <v>0</v>
      </c>
      <c r="G269" s="11">
        <v>1.3229787349700928E-2</v>
      </c>
      <c r="H269" s="40">
        <v>4.1155624390918873E-4</v>
      </c>
      <c r="I269" s="40">
        <v>1.6185309107932293</v>
      </c>
      <c r="J269" s="59">
        <v>0</v>
      </c>
      <c r="K269" s="59">
        <v>7164.3246337771416</v>
      </c>
      <c r="L269" s="59">
        <v>0</v>
      </c>
      <c r="M269" s="11">
        <v>0.88728976249694824</v>
      </c>
      <c r="N269" s="11">
        <v>0.81802654266357422</v>
      </c>
      <c r="O269" s="11">
        <v>0.32356357574462891</v>
      </c>
      <c r="Q269" s="59">
        <v>14.65473669760353</v>
      </c>
      <c r="R269" s="78">
        <v>586.18424903102789</v>
      </c>
      <c r="S269" s="78">
        <v>14.709090820965574</v>
      </c>
      <c r="T269" s="78">
        <v>619.30886729001713</v>
      </c>
      <c r="U269" s="78">
        <v>5.4354123362044149E-2</v>
      </c>
      <c r="V269" s="78">
        <v>33.124618258989244</v>
      </c>
      <c r="Y269" s="28"/>
      <c r="Z269" s="28"/>
      <c r="AK269" s="28"/>
      <c r="AS269" s="28"/>
      <c r="AT269" s="28"/>
    </row>
    <row r="270" spans="3:46" x14ac:dyDescent="0.15">
      <c r="C270" s="11">
        <v>2.5521069765090942E-2</v>
      </c>
      <c r="D270" s="11">
        <v>1.3277500867843628E-2</v>
      </c>
      <c r="E270" s="11">
        <v>0.19775246714939262</v>
      </c>
      <c r="F270" s="11">
        <v>0</v>
      </c>
      <c r="G270" s="11">
        <v>4.1073620319366455E-2</v>
      </c>
      <c r="H270" s="40">
        <v>3.8505759111759992E-4</v>
      </c>
      <c r="I270" s="40">
        <v>1.3869168380662871</v>
      </c>
      <c r="J270" s="59">
        <v>0</v>
      </c>
      <c r="K270" s="59">
        <v>5090.2343355119228</v>
      </c>
      <c r="L270" s="59">
        <v>0</v>
      </c>
      <c r="M270" s="11">
        <v>0.85924327373504639</v>
      </c>
      <c r="N270" s="11">
        <v>0.80225944519042969</v>
      </c>
      <c r="O270" s="11">
        <v>0.33559644222259521</v>
      </c>
      <c r="Q270" s="59">
        <v>14.758987497768851</v>
      </c>
      <c r="R270" s="78">
        <v>473.71562325946439</v>
      </c>
      <c r="S270" s="78">
        <v>14.783767210413128</v>
      </c>
      <c r="T270" s="78">
        <v>594.92661685744338</v>
      </c>
      <c r="U270" s="78">
        <v>2.4779712644276586E-2</v>
      </c>
      <c r="V270" s="78">
        <v>121.21099359797898</v>
      </c>
      <c r="Y270" s="28"/>
      <c r="Z270" s="28"/>
      <c r="AK270" s="28"/>
      <c r="AS270" s="28"/>
      <c r="AT270" s="28"/>
    </row>
    <row r="271" spans="3:46" x14ac:dyDescent="0.15">
      <c r="C271" s="11">
        <v>4.2305231094360352E-2</v>
      </c>
      <c r="D271" s="11">
        <v>1.3408347964286804E-2</v>
      </c>
      <c r="E271" s="11">
        <v>0.35204103844636631</v>
      </c>
      <c r="F271" s="11">
        <v>0</v>
      </c>
      <c r="G271" s="11">
        <v>3.7797480821609497E-2</v>
      </c>
      <c r="H271" s="40">
        <v>5.9508801243265085E-4</v>
      </c>
      <c r="I271" s="40">
        <v>1.4570009271661766</v>
      </c>
      <c r="J271" s="59">
        <v>0</v>
      </c>
      <c r="K271" s="59">
        <v>6893.7009200453758</v>
      </c>
      <c r="L271" s="59">
        <v>0</v>
      </c>
      <c r="M271" s="11">
        <v>0.84266698360443115</v>
      </c>
      <c r="N271" s="11">
        <v>0.74055194854736328</v>
      </c>
      <c r="O271" s="11">
        <v>0.28251528739929199</v>
      </c>
      <c r="Q271" s="59">
        <v>14.178997745304242</v>
      </c>
      <c r="R271" s="78">
        <v>589.54037888083451</v>
      </c>
      <c r="S271" s="78">
        <v>14.22761701249825</v>
      </c>
      <c r="T271" s="78">
        <v>648.96821823494679</v>
      </c>
      <c r="U271" s="78">
        <v>4.8619267194007776E-2</v>
      </c>
      <c r="V271" s="78">
        <v>59.42783935411228</v>
      </c>
      <c r="Y271" s="28"/>
      <c r="Z271" s="28"/>
      <c r="AK271" s="28"/>
      <c r="AS271" s="28"/>
      <c r="AT271" s="28"/>
    </row>
    <row r="272" spans="3:46" x14ac:dyDescent="0.15">
      <c r="C272" s="11">
        <v>2.3801743984222412E-2</v>
      </c>
      <c r="D272" s="11">
        <v>3.6940634250640869E-2</v>
      </c>
      <c r="E272" s="11">
        <v>0.1549400537769007</v>
      </c>
      <c r="F272" s="11">
        <v>0</v>
      </c>
      <c r="G272" s="11">
        <v>3.4556955099105835E-2</v>
      </c>
      <c r="H272" s="40">
        <v>4.5776673657261493E-4</v>
      </c>
      <c r="I272" s="40">
        <v>1.4410558516891701</v>
      </c>
      <c r="J272" s="59">
        <v>0</v>
      </c>
      <c r="K272" s="59">
        <v>5996.4368119835854</v>
      </c>
      <c r="L272" s="59">
        <v>0</v>
      </c>
      <c r="M272" s="11">
        <v>0.82503384351730347</v>
      </c>
      <c r="N272" s="11">
        <v>0.70599567890167236</v>
      </c>
      <c r="O272" s="11">
        <v>0.28562331199645996</v>
      </c>
      <c r="Q272" s="59">
        <v>14.159369804053265</v>
      </c>
      <c r="R272" s="78">
        <v>519.2705968391308</v>
      </c>
      <c r="S272" s="78">
        <v>14.215647524120497</v>
      </c>
      <c r="T272" s="78">
        <v>598.71469308743679</v>
      </c>
      <c r="U272" s="78">
        <v>5.6277720067232195E-2</v>
      </c>
      <c r="V272" s="78">
        <v>79.444096248305982</v>
      </c>
      <c r="Y272" s="28"/>
      <c r="Z272" s="28"/>
      <c r="AK272" s="28"/>
      <c r="AS272" s="28"/>
      <c r="AT272" s="28"/>
    </row>
    <row r="273" spans="3:46" x14ac:dyDescent="0.15">
      <c r="C273" s="11">
        <v>3.8644850254058838E-2</v>
      </c>
      <c r="D273" s="11">
        <v>8.5595101118087769E-3</v>
      </c>
      <c r="E273" s="11">
        <v>0.32659344089717685</v>
      </c>
      <c r="F273" s="11">
        <v>0</v>
      </c>
      <c r="G273" s="11">
        <v>5.3377270698547363E-2</v>
      </c>
      <c r="H273" s="40">
        <v>6.4488198029383464E-4</v>
      </c>
      <c r="I273" s="40">
        <v>1.4583881992193395</v>
      </c>
      <c r="J273" s="59">
        <v>0</v>
      </c>
      <c r="K273" s="59">
        <v>6290.4763035476208</v>
      </c>
      <c r="L273" s="59">
        <v>0</v>
      </c>
      <c r="M273" s="11">
        <v>0.84303164482116699</v>
      </c>
      <c r="N273" s="11">
        <v>0.73595190048217773</v>
      </c>
      <c r="O273" s="11">
        <v>0.3688812255859375</v>
      </c>
      <c r="Q273" s="59">
        <v>14.235559682398666</v>
      </c>
      <c r="R273" s="78">
        <v>604.33900242936795</v>
      </c>
      <c r="S273" s="78">
        <v>14.288831470128956</v>
      </c>
      <c r="T273" s="78">
        <v>648.95313146235549</v>
      </c>
      <c r="U273" s="78">
        <v>5.3271787730290399E-2</v>
      </c>
      <c r="V273" s="78">
        <v>44.614129032987535</v>
      </c>
      <c r="Y273" s="28"/>
      <c r="Z273" s="28"/>
      <c r="AK273" s="28"/>
      <c r="AS273" s="28"/>
      <c r="AT273" s="28"/>
    </row>
    <row r="274" spans="3:46" x14ac:dyDescent="0.15">
      <c r="C274" s="11">
        <v>1.2207001447677612E-2</v>
      </c>
      <c r="D274" s="11">
        <v>1.8496111035346985E-2</v>
      </c>
      <c r="E274" s="11">
        <v>0.29247798646799877</v>
      </c>
      <c r="F274" s="11">
        <v>0</v>
      </c>
      <c r="G274" s="11">
        <v>3.545677661895752E-2</v>
      </c>
      <c r="H274" s="40">
        <v>3.8132342977211631E-4</v>
      </c>
      <c r="I274" s="40">
        <v>1.4785814871753276</v>
      </c>
      <c r="J274" s="59">
        <v>0</v>
      </c>
      <c r="K274" s="59">
        <v>2900.3527015447617</v>
      </c>
      <c r="L274" s="59">
        <v>0</v>
      </c>
      <c r="M274" s="11">
        <v>0.88047242164611816</v>
      </c>
      <c r="N274" s="11">
        <v>0.7418176531791687</v>
      </c>
      <c r="O274" s="11">
        <v>0.27350854873657227</v>
      </c>
      <c r="Q274" s="59">
        <v>15.295550077089445</v>
      </c>
      <c r="R274" s="78">
        <v>451.59917615924968</v>
      </c>
      <c r="S274" s="78">
        <v>15.342600060319793</v>
      </c>
      <c r="T274" s="78">
        <v>596.05638779281549</v>
      </c>
      <c r="U274" s="78">
        <v>4.7049983230348147E-2</v>
      </c>
      <c r="V274" s="78">
        <v>144.45721163356581</v>
      </c>
      <c r="Y274" s="28"/>
      <c r="Z274" s="28"/>
      <c r="AK274" s="28"/>
      <c r="AS274" s="28"/>
      <c r="AT274" s="28"/>
    </row>
    <row r="275" spans="3:46" x14ac:dyDescent="0.15">
      <c r="C275" s="11">
        <v>1.7066657543182373E-2</v>
      </c>
      <c r="D275" s="11">
        <v>2.0947545766830444E-2</v>
      </c>
      <c r="E275" s="11">
        <v>0.2514316795124773</v>
      </c>
      <c r="F275" s="11">
        <v>0</v>
      </c>
      <c r="G275" s="11">
        <v>4.4522553682327271E-2</v>
      </c>
      <c r="H275" s="40">
        <v>4.4790189222177227E-4</v>
      </c>
      <c r="I275" s="40">
        <v>1.4350359092202025</v>
      </c>
      <c r="J275" s="59">
        <v>0</v>
      </c>
      <c r="K275" s="59">
        <v>3569.9526779353619</v>
      </c>
      <c r="L275" s="59">
        <v>0</v>
      </c>
      <c r="M275" s="11">
        <v>0.83173787593841553</v>
      </c>
      <c r="N275" s="11">
        <v>0.79934191703796387</v>
      </c>
      <c r="O275" s="11">
        <v>0.29468488693237305</v>
      </c>
      <c r="Q275" s="59">
        <v>14.4023323341668</v>
      </c>
      <c r="R275" s="78">
        <v>470.29892944097492</v>
      </c>
      <c r="S275" s="78">
        <v>14.430922453469238</v>
      </c>
      <c r="T275" s="78">
        <v>598.4370135061381</v>
      </c>
      <c r="U275" s="78">
        <v>2.85901193024376E-2</v>
      </c>
      <c r="V275" s="78">
        <v>128.13808406516318</v>
      </c>
      <c r="Y275" s="28"/>
      <c r="Z275" s="28"/>
      <c r="AK275" s="28"/>
      <c r="AS275" s="28"/>
      <c r="AT275" s="28"/>
    </row>
    <row r="276" spans="3:46" x14ac:dyDescent="0.15">
      <c r="C276" s="11">
        <v>4.9250364303588867E-2</v>
      </c>
      <c r="D276" s="11">
        <v>3.9530396461486816E-2</v>
      </c>
      <c r="E276" s="11">
        <v>0.42686189748993597</v>
      </c>
      <c r="F276" s="11">
        <v>0</v>
      </c>
      <c r="G276" s="11">
        <v>1.9928872585296631E-2</v>
      </c>
      <c r="H276" s="40">
        <v>3.0297837083886268E-4</v>
      </c>
      <c r="I276" s="40">
        <v>1.6424616410979191</v>
      </c>
      <c r="J276" s="59">
        <v>0</v>
      </c>
      <c r="K276" s="59">
        <v>5507.4342526495457</v>
      </c>
      <c r="L276" s="59">
        <v>0</v>
      </c>
      <c r="M276" s="11">
        <v>0.85119646787643433</v>
      </c>
      <c r="N276" s="11">
        <v>0.72543430328369141</v>
      </c>
      <c r="O276" s="11">
        <v>0.31151425838470459</v>
      </c>
      <c r="Q276" s="59">
        <v>14.215341970346447</v>
      </c>
      <c r="R276" s="78">
        <v>517.42281476415599</v>
      </c>
      <c r="S276" s="78">
        <v>14.260258987929157</v>
      </c>
      <c r="T276" s="78">
        <v>632.44688454672337</v>
      </c>
      <c r="U276" s="78">
        <v>4.4917017582710272E-2</v>
      </c>
      <c r="V276" s="78">
        <v>115.02406978256738</v>
      </c>
      <c r="Y276" s="28"/>
      <c r="Z276" s="28"/>
      <c r="AK276" s="28"/>
      <c r="AS276" s="28"/>
      <c r="AT276" s="28"/>
    </row>
    <row r="277" spans="3:46" x14ac:dyDescent="0.15">
      <c r="C277" s="11">
        <v>9.877622127532959E-3</v>
      </c>
      <c r="D277" s="11">
        <v>4.7362089157104492E-2</v>
      </c>
      <c r="E277" s="11">
        <v>0.31216785082246323</v>
      </c>
      <c r="F277" s="11">
        <v>0</v>
      </c>
      <c r="G277" s="11">
        <v>5.3415954113006592E-2</v>
      </c>
      <c r="H277" s="40">
        <v>4.4253967581501478E-4</v>
      </c>
      <c r="I277" s="40">
        <v>1.4662187636379036</v>
      </c>
      <c r="J277" s="59">
        <v>0</v>
      </c>
      <c r="K277" s="59">
        <v>5187.417846173048</v>
      </c>
      <c r="L277" s="59">
        <v>0</v>
      </c>
      <c r="M277" s="11">
        <v>0.87496227025985718</v>
      </c>
      <c r="N277" s="11">
        <v>0.80968022346496582</v>
      </c>
      <c r="O277" s="11">
        <v>0.21346664428710938</v>
      </c>
      <c r="Q277" s="59">
        <v>15.233560750109392</v>
      </c>
      <c r="R277" s="78">
        <v>518.72074133585625</v>
      </c>
      <c r="S277" s="78">
        <v>15.280509153754613</v>
      </c>
      <c r="T277" s="78">
        <v>618.4498948263215</v>
      </c>
      <c r="U277" s="78">
        <v>4.6948403645220793E-2</v>
      </c>
      <c r="V277" s="78">
        <v>99.729153490465251</v>
      </c>
      <c r="Y277" s="28"/>
      <c r="Z277" s="28"/>
      <c r="AK277" s="28"/>
      <c r="AS277" s="28"/>
      <c r="AT277" s="28"/>
    </row>
    <row r="278" spans="3:46" x14ac:dyDescent="0.15">
      <c r="C278" s="11">
        <v>1.352246105670929E-2</v>
      </c>
      <c r="D278" s="11">
        <v>4.6163797378540039E-3</v>
      </c>
      <c r="E278" s="11">
        <v>0.24344774708210123</v>
      </c>
      <c r="F278" s="11">
        <v>0</v>
      </c>
      <c r="G278" s="11">
        <v>1.1422455310821533E-2</v>
      </c>
      <c r="H278" s="40">
        <v>7.1840033747532688E-4</v>
      </c>
      <c r="I278" s="40">
        <v>1.3647197978079686</v>
      </c>
      <c r="J278" s="59">
        <v>0</v>
      </c>
      <c r="K278" s="59">
        <v>6388.053297996521</v>
      </c>
      <c r="L278" s="59">
        <v>0</v>
      </c>
      <c r="M278" s="11">
        <v>0.8544776439666748</v>
      </c>
      <c r="N278" s="11">
        <v>0.7364838719367981</v>
      </c>
      <c r="O278" s="11">
        <v>0.27779567241668701</v>
      </c>
      <c r="Q278" s="59">
        <v>14.818567063064028</v>
      </c>
      <c r="R278" s="78">
        <v>541.97862930151928</v>
      </c>
      <c r="S278" s="78">
        <v>14.871544560981821</v>
      </c>
      <c r="T278" s="78">
        <v>615.64960476751025</v>
      </c>
      <c r="U278" s="78">
        <v>5.2977497917792604E-2</v>
      </c>
      <c r="V278" s="78">
        <v>73.670975465990978</v>
      </c>
      <c r="Y278" s="28"/>
      <c r="Z278" s="28"/>
      <c r="AK278" s="28"/>
      <c r="AS278" s="28"/>
      <c r="AT278" s="28"/>
    </row>
    <row r="279" spans="3:46" x14ac:dyDescent="0.15">
      <c r="C279" s="11">
        <v>2.5726139545440674E-2</v>
      </c>
      <c r="D279" s="11">
        <v>9.7014755010604858E-3</v>
      </c>
      <c r="E279" s="11">
        <v>0.33729219672139027</v>
      </c>
      <c r="F279" s="11">
        <v>0</v>
      </c>
      <c r="G279" s="11">
        <v>3.1553089618682861E-2</v>
      </c>
      <c r="H279" s="40">
        <v>5.095766848691645E-4</v>
      </c>
      <c r="I279" s="40">
        <v>1.3363941726491479</v>
      </c>
      <c r="J279" s="59">
        <v>0</v>
      </c>
      <c r="K279" s="59">
        <v>2886.4666819572449</v>
      </c>
      <c r="L279" s="59">
        <v>0</v>
      </c>
      <c r="M279" s="11">
        <v>0.82010746002197266</v>
      </c>
      <c r="N279" s="11">
        <v>0.72382640838623047</v>
      </c>
      <c r="O279" s="11">
        <v>0.27928566932678223</v>
      </c>
      <c r="Q279" s="59">
        <v>14.070620005567861</v>
      </c>
      <c r="R279" s="78">
        <v>443.00539445509412</v>
      </c>
      <c r="S279" s="78">
        <v>14.098787072939434</v>
      </c>
      <c r="T279" s="78">
        <v>595.6866422932444</v>
      </c>
      <c r="U279" s="78">
        <v>2.816706737157304E-2</v>
      </c>
      <c r="V279" s="78">
        <v>152.68124783815028</v>
      </c>
      <c r="Y279" s="28"/>
      <c r="Z279" s="28"/>
      <c r="AK279" s="28"/>
      <c r="AS279" s="28"/>
      <c r="AT279" s="28"/>
    </row>
    <row r="280" spans="3:46" x14ac:dyDescent="0.15">
      <c r="C280" s="11">
        <v>4.3055862188339233E-3</v>
      </c>
      <c r="D280" s="11">
        <v>1.1354401707649231E-2</v>
      </c>
      <c r="E280" s="11">
        <v>0.12127691954583689</v>
      </c>
      <c r="F280" s="11">
        <v>0</v>
      </c>
      <c r="G280" s="11">
        <v>2.4302184581756592E-2</v>
      </c>
      <c r="H280" s="40">
        <v>4.0566266636724528E-4</v>
      </c>
      <c r="I280" s="40">
        <v>1.4621709283048479</v>
      </c>
      <c r="J280" s="59">
        <v>0</v>
      </c>
      <c r="K280" s="59">
        <v>4368.8621371984482</v>
      </c>
      <c r="L280" s="59">
        <v>0</v>
      </c>
      <c r="M280" s="11">
        <v>0.7975318431854248</v>
      </c>
      <c r="N280" s="11">
        <v>0.74907755851745605</v>
      </c>
      <c r="O280" s="11">
        <v>0.32276785373687744</v>
      </c>
      <c r="Q280" s="59">
        <v>13.99228024680845</v>
      </c>
      <c r="R280" s="78">
        <v>477.51038012043847</v>
      </c>
      <c r="S280" s="78">
        <v>14.022369698355341</v>
      </c>
      <c r="T280" s="78">
        <v>589.28762735833357</v>
      </c>
      <c r="U280" s="78">
        <v>3.00894515468908E-2</v>
      </c>
      <c r="V280" s="78">
        <v>111.7772472378951</v>
      </c>
      <c r="Y280" s="28"/>
      <c r="Z280" s="28"/>
      <c r="AK280" s="28"/>
      <c r="AS280" s="28"/>
      <c r="AT280" s="28"/>
    </row>
    <row r="281" spans="3:46" x14ac:dyDescent="0.15">
      <c r="C281" s="11">
        <v>1.6579896211624146E-2</v>
      </c>
      <c r="D281" s="11">
        <v>9.3885809183120728E-3</v>
      </c>
      <c r="E281" s="11">
        <v>0.41588810180562369</v>
      </c>
      <c r="F281" s="11">
        <v>0</v>
      </c>
      <c r="G281" s="11">
        <v>5.5609583854675293E-2</v>
      </c>
      <c r="H281" s="40">
        <v>4.0984577493039816E-4</v>
      </c>
      <c r="I281" s="40">
        <v>1.4458879083787424</v>
      </c>
      <c r="J281" s="59">
        <v>0</v>
      </c>
      <c r="K281" s="59">
        <v>4550.1207932829857</v>
      </c>
      <c r="L281" s="59">
        <v>0</v>
      </c>
      <c r="M281" s="11">
        <v>0.84276843070983887</v>
      </c>
      <c r="N281" s="11">
        <v>0.74165177345275879</v>
      </c>
      <c r="O281" s="11">
        <v>0.34992694854736328</v>
      </c>
      <c r="Q281" s="59">
        <v>14.589112209245595</v>
      </c>
      <c r="R281" s="78">
        <v>491.35145216321263</v>
      </c>
      <c r="S281" s="78">
        <v>14.61830241389794</v>
      </c>
      <c r="T281" s="78">
        <v>619.87836434614098</v>
      </c>
      <c r="U281" s="78">
        <v>2.9190204652344676E-2</v>
      </c>
      <c r="V281" s="78">
        <v>128.52691218292836</v>
      </c>
      <c r="Y281" s="28"/>
      <c r="Z281" s="28"/>
      <c r="AK281" s="28"/>
      <c r="AS281" s="28"/>
      <c r="AT281" s="28"/>
    </row>
    <row r="282" spans="3:46" x14ac:dyDescent="0.15">
      <c r="C282" s="11">
        <v>2.4135619401931763E-2</v>
      </c>
      <c r="D282" s="11">
        <v>1.5650093555450439E-2</v>
      </c>
      <c r="E282" s="11">
        <v>0.2794089741931941</v>
      </c>
      <c r="F282" s="11">
        <v>0</v>
      </c>
      <c r="G282" s="11">
        <v>2.3111522197723389E-2</v>
      </c>
      <c r="H282" s="40">
        <v>5.0864785456053538E-4</v>
      </c>
      <c r="I282" s="40">
        <v>1.4228675617778832</v>
      </c>
      <c r="J282" s="59">
        <v>0</v>
      </c>
      <c r="K282" s="59">
        <v>4122.1175342798233</v>
      </c>
      <c r="L282" s="59">
        <v>0</v>
      </c>
      <c r="M282" s="11">
        <v>0.90520954132080078</v>
      </c>
      <c r="N282" s="11">
        <v>0.81307554244995117</v>
      </c>
      <c r="O282" s="11">
        <v>0.32543474435806274</v>
      </c>
      <c r="Q282" s="59">
        <v>15.546878729364886</v>
      </c>
      <c r="R282" s="78">
        <v>479.45246052971839</v>
      </c>
      <c r="S282" s="78">
        <v>15.587298426873367</v>
      </c>
      <c r="T282" s="78">
        <v>603.21314893677902</v>
      </c>
      <c r="U282" s="78">
        <v>4.0419697508481178E-2</v>
      </c>
      <c r="V282" s="78">
        <v>123.76068840706063</v>
      </c>
      <c r="Y282" s="28"/>
      <c r="Z282" s="28"/>
      <c r="AK282" s="28"/>
      <c r="AS282" s="28"/>
      <c r="AT282" s="28"/>
    </row>
    <row r="283" spans="3:46" x14ac:dyDescent="0.15">
      <c r="C283" s="11">
        <v>2.5855302810668945E-3</v>
      </c>
      <c r="D283" s="11">
        <v>9.9009275436401367E-4</v>
      </c>
      <c r="E283" s="11">
        <v>0.14971661323098012</v>
      </c>
      <c r="F283" s="11">
        <v>0</v>
      </c>
      <c r="G283" s="11">
        <v>2.5744646787643433E-2</v>
      </c>
      <c r="H283" s="40">
        <v>3.2163808088286818E-4</v>
      </c>
      <c r="I283" s="40">
        <v>1.559181859868896</v>
      </c>
      <c r="J283" s="59">
        <v>0</v>
      </c>
      <c r="K283" s="59">
        <v>3675.767220556736</v>
      </c>
      <c r="L283" s="59">
        <v>0</v>
      </c>
      <c r="M283" s="11">
        <v>0.86588847637176514</v>
      </c>
      <c r="N283" s="11">
        <v>0.83278083801269531</v>
      </c>
      <c r="O283" s="11">
        <v>0.26092064380645752</v>
      </c>
      <c r="Q283" s="59">
        <v>15.220474363084692</v>
      </c>
      <c r="R283" s="78">
        <v>468.89812759780744</v>
      </c>
      <c r="S283" s="78">
        <v>15.24984142867743</v>
      </c>
      <c r="T283" s="78">
        <v>590.40379022507329</v>
      </c>
      <c r="U283" s="78">
        <v>2.9367065592737163E-2</v>
      </c>
      <c r="V283" s="78">
        <v>121.50566262726585</v>
      </c>
      <c r="Y283" s="28"/>
      <c r="Z283" s="28"/>
      <c r="AK283" s="28"/>
      <c r="AS283" s="28"/>
      <c r="AT283" s="28"/>
    </row>
    <row r="284" spans="3:46" x14ac:dyDescent="0.15">
      <c r="C284" s="11">
        <v>1.7387270927429199E-3</v>
      </c>
      <c r="D284" s="11">
        <v>1.0918572545051575E-2</v>
      </c>
      <c r="E284" s="11">
        <v>0.21395979112325311</v>
      </c>
      <c r="F284" s="11">
        <v>0</v>
      </c>
      <c r="G284" s="11">
        <v>8.278965950012207E-3</v>
      </c>
      <c r="H284" s="40">
        <v>3.8944243959708989E-4</v>
      </c>
      <c r="I284" s="40">
        <v>1.476076711438195</v>
      </c>
      <c r="J284" s="59">
        <v>0</v>
      </c>
      <c r="K284" s="59">
        <v>4775.7965512573719</v>
      </c>
      <c r="L284" s="59">
        <v>0</v>
      </c>
      <c r="M284" s="11">
        <v>0.83215218782424927</v>
      </c>
      <c r="N284" s="11">
        <v>0.73996442556381226</v>
      </c>
      <c r="O284" s="11">
        <v>0.23677539825439453</v>
      </c>
      <c r="Q284" s="59">
        <v>14.62447082518084</v>
      </c>
      <c r="R284" s="78">
        <v>476.98101278424161</v>
      </c>
      <c r="S284" s="78">
        <v>14.662621083798882</v>
      </c>
      <c r="T284" s="78">
        <v>597.01200286134667</v>
      </c>
      <c r="U284" s="78">
        <v>3.8150258618042443E-2</v>
      </c>
      <c r="V284" s="78">
        <v>120.03099007710506</v>
      </c>
      <c r="Y284" s="28"/>
      <c r="Z284" s="28"/>
      <c r="AK284" s="28"/>
      <c r="AS284" s="28"/>
      <c r="AT284" s="28"/>
    </row>
    <row r="285" spans="3:46" x14ac:dyDescent="0.15">
      <c r="C285" s="11">
        <v>3.055688738822937E-2</v>
      </c>
      <c r="D285" s="11">
        <v>2.325594425201416E-2</v>
      </c>
      <c r="E285" s="11">
        <v>0.41629663958632818</v>
      </c>
      <c r="F285" s="11">
        <v>0</v>
      </c>
      <c r="G285" s="11">
        <v>3.1494438648223877E-2</v>
      </c>
      <c r="H285" s="40">
        <v>3.2792729328738271E-4</v>
      </c>
      <c r="I285" s="40">
        <v>1.5051293220305137</v>
      </c>
      <c r="J285" s="59">
        <v>0</v>
      </c>
      <c r="K285" s="59">
        <v>3311.8342980742455</v>
      </c>
      <c r="L285" s="59">
        <v>0</v>
      </c>
      <c r="M285" s="11">
        <v>0.8752400279045105</v>
      </c>
      <c r="N285" s="11">
        <v>0.8514556884765625</v>
      </c>
      <c r="O285" s="11">
        <v>0.23837471008300781</v>
      </c>
      <c r="Q285" s="59">
        <v>14.952605648341001</v>
      </c>
      <c r="R285" s="78">
        <v>452.7701515346684</v>
      </c>
      <c r="S285" s="78">
        <v>14.972777966450552</v>
      </c>
      <c r="T285" s="78">
        <v>603.70380930609178</v>
      </c>
      <c r="U285" s="78">
        <v>2.0172318109551668E-2</v>
      </c>
      <c r="V285" s="78">
        <v>150.93365777142338</v>
      </c>
      <c r="Y285" s="28"/>
      <c r="Z285" s="28"/>
      <c r="AK285" s="28"/>
      <c r="AS285" s="28"/>
      <c r="AT285" s="28"/>
    </row>
    <row r="286" spans="3:46" x14ac:dyDescent="0.15">
      <c r="C286" s="11">
        <v>1.9142463803291321E-2</v>
      </c>
      <c r="D286" s="11">
        <v>1.4870211482048035E-2</v>
      </c>
      <c r="E286" s="11">
        <v>0.23708095882980879</v>
      </c>
      <c r="F286" s="11">
        <v>0</v>
      </c>
      <c r="G286" s="11">
        <v>1.7249524593353271E-2</v>
      </c>
      <c r="H286" s="40">
        <v>3.2880629185672261E-4</v>
      </c>
      <c r="I286" s="40">
        <v>1.4914050556182881</v>
      </c>
      <c r="J286" s="59">
        <v>0</v>
      </c>
      <c r="K286" s="59">
        <v>3344.8124304413795</v>
      </c>
      <c r="L286" s="59">
        <v>0</v>
      </c>
      <c r="M286" s="11">
        <v>0.79859828948974609</v>
      </c>
      <c r="N286" s="11">
        <v>0.75986641645431519</v>
      </c>
      <c r="O286" s="11">
        <v>0.33596146106719971</v>
      </c>
      <c r="Q286" s="59">
        <v>13.80881462342348</v>
      </c>
      <c r="R286" s="78">
        <v>447.45749415720883</v>
      </c>
      <c r="S286" s="78">
        <v>13.829517756410976</v>
      </c>
      <c r="T286" s="78">
        <v>591.83072712371688</v>
      </c>
      <c r="U286" s="78">
        <v>2.070313298749582E-2</v>
      </c>
      <c r="V286" s="78">
        <v>144.37323296650806</v>
      </c>
      <c r="Y286" s="28"/>
      <c r="Z286" s="28"/>
      <c r="AK286" s="28"/>
      <c r="AS286" s="28"/>
      <c r="AT286" s="28"/>
    </row>
    <row r="287" spans="3:46" x14ac:dyDescent="0.15">
      <c r="C287" s="11">
        <v>2.3157835006713867E-2</v>
      </c>
      <c r="D287" s="11">
        <v>1.4316752552986145E-2</v>
      </c>
      <c r="E287" s="11">
        <v>0.31501447097758989</v>
      </c>
      <c r="F287" s="11">
        <v>0</v>
      </c>
      <c r="G287" s="11">
        <v>3.3644258975982666E-2</v>
      </c>
      <c r="H287" s="40">
        <v>5.3018423736401858E-4</v>
      </c>
      <c r="I287" s="40">
        <v>1.3460373936730854</v>
      </c>
      <c r="J287" s="59">
        <v>0</v>
      </c>
      <c r="K287" s="59">
        <v>5333.1116214394569</v>
      </c>
      <c r="L287" s="59">
        <v>0</v>
      </c>
      <c r="M287" s="11">
        <v>0.91168212890625</v>
      </c>
      <c r="N287" s="11">
        <v>0.67478585243225098</v>
      </c>
      <c r="O287" s="11">
        <v>0.30430006980895996</v>
      </c>
      <c r="Q287" s="59">
        <v>15.645355749760148</v>
      </c>
      <c r="R287" s="78">
        <v>492.07311909172722</v>
      </c>
      <c r="S287" s="78">
        <v>15.70346205241905</v>
      </c>
      <c r="T287" s="78">
        <v>610.22122712532087</v>
      </c>
      <c r="U287" s="78">
        <v>5.810630265890282E-2</v>
      </c>
      <c r="V287" s="78">
        <v>118.14810803359364</v>
      </c>
      <c r="Y287" s="28"/>
      <c r="Z287" s="28"/>
      <c r="AK287" s="28"/>
      <c r="AS287" s="28"/>
      <c r="AT287" s="28"/>
    </row>
    <row r="288" spans="3:46" x14ac:dyDescent="0.15">
      <c r="C288" s="11">
        <v>2.8211802244186401E-2</v>
      </c>
      <c r="D288" s="11">
        <v>2.2540479898452759E-2</v>
      </c>
      <c r="E288" s="11">
        <v>0.14620433679294545</v>
      </c>
      <c r="F288" s="11">
        <v>0</v>
      </c>
      <c r="G288" s="11">
        <v>5.9647321701049805E-2</v>
      </c>
      <c r="H288" s="40">
        <v>3.4334408682569766E-4</v>
      </c>
      <c r="I288" s="40">
        <v>1.4838965840426446</v>
      </c>
      <c r="J288" s="59">
        <v>0</v>
      </c>
      <c r="K288" s="59">
        <v>4063.0507282912731</v>
      </c>
      <c r="L288" s="59">
        <v>0</v>
      </c>
      <c r="M288" s="11">
        <v>0.82513433694839478</v>
      </c>
      <c r="N288" s="11">
        <v>0.72037601470947266</v>
      </c>
      <c r="O288" s="11">
        <v>0.34949696063995361</v>
      </c>
      <c r="Q288" s="59">
        <v>14.112877722291966</v>
      </c>
      <c r="R288" s="78">
        <v>475.54481778400827</v>
      </c>
      <c r="S288" s="78">
        <v>14.156103280873856</v>
      </c>
      <c r="T288" s="78">
        <v>591.08359383385982</v>
      </c>
      <c r="U288" s="78">
        <v>4.32255585818897E-2</v>
      </c>
      <c r="V288" s="78">
        <v>115.53877604985155</v>
      </c>
      <c r="Y288" s="28"/>
      <c r="Z288" s="28"/>
      <c r="AK288" s="28"/>
      <c r="AS288" s="28"/>
      <c r="AT288" s="28"/>
    </row>
    <row r="289" spans="3:46" x14ac:dyDescent="0.15">
      <c r="C289" s="11">
        <v>3.0789345502853394E-2</v>
      </c>
      <c r="D289" s="11">
        <v>2.7665317058563232E-2</v>
      </c>
      <c r="E289" s="11">
        <v>0.1351617268938316</v>
      </c>
      <c r="F289" s="11">
        <v>0</v>
      </c>
      <c r="G289" s="11">
        <v>3.7240147590637207E-2</v>
      </c>
      <c r="H289" s="40">
        <v>2.8782477608655695E-4</v>
      </c>
      <c r="I289" s="40">
        <v>1.645520894408842</v>
      </c>
      <c r="J289" s="59">
        <v>0</v>
      </c>
      <c r="K289" s="59">
        <v>6339.4522294402122</v>
      </c>
      <c r="L289" s="59">
        <v>0</v>
      </c>
      <c r="M289" s="11">
        <v>0.82712805271148682</v>
      </c>
      <c r="N289" s="11">
        <v>0.74327224493026733</v>
      </c>
      <c r="O289" s="11">
        <v>0.26332974433898926</v>
      </c>
      <c r="Q289" s="59">
        <v>14.095469714525366</v>
      </c>
      <c r="R289" s="78">
        <v>546.62881663455209</v>
      </c>
      <c r="S289" s="78">
        <v>14.151241630447208</v>
      </c>
      <c r="T289" s="78">
        <v>600.05683263770936</v>
      </c>
      <c r="U289" s="78">
        <v>5.5771915921841497E-2</v>
      </c>
      <c r="V289" s="78">
        <v>53.428016003157268</v>
      </c>
      <c r="Y289" s="28"/>
      <c r="Z289" s="28"/>
      <c r="AK289" s="28"/>
      <c r="AS289" s="28"/>
      <c r="AT289" s="28"/>
    </row>
    <row r="290" spans="3:46" x14ac:dyDescent="0.15">
      <c r="C290" s="11">
        <v>4.4412910938262939E-3</v>
      </c>
      <c r="D290" s="11">
        <v>3.6944866180419922E-2</v>
      </c>
      <c r="E290" s="11">
        <v>0.19618407520702613</v>
      </c>
      <c r="F290" s="11">
        <v>0</v>
      </c>
      <c r="G290" s="11">
        <v>5.2689671516418457E-2</v>
      </c>
      <c r="H290" s="40">
        <v>5.0927153240199721E-4</v>
      </c>
      <c r="I290" s="40">
        <v>1.5197261351878535</v>
      </c>
      <c r="J290" s="59">
        <v>0</v>
      </c>
      <c r="K290" s="59">
        <v>3644.2885175347328</v>
      </c>
      <c r="L290" s="59">
        <v>0</v>
      </c>
      <c r="M290" s="11">
        <v>0.82196682691574097</v>
      </c>
      <c r="N290" s="11">
        <v>0.77846574783325195</v>
      </c>
      <c r="O290" s="11">
        <v>0.31902569532394409</v>
      </c>
      <c r="Q290" s="59">
        <v>14.386551168843855</v>
      </c>
      <c r="R290" s="78">
        <v>511.76649715982256</v>
      </c>
      <c r="S290" s="78">
        <v>14.440740798784459</v>
      </c>
      <c r="T290" s="78">
        <v>602.60114756725477</v>
      </c>
      <c r="U290" s="78">
        <v>5.4189629940603723E-2</v>
      </c>
      <c r="V290" s="78">
        <v>90.834650407432207</v>
      </c>
      <c r="Y290" s="28"/>
      <c r="Z290" s="28"/>
      <c r="AK290" s="28"/>
      <c r="AS290" s="28"/>
      <c r="AT290" s="28"/>
    </row>
    <row r="291" spans="3:46" x14ac:dyDescent="0.15">
      <c r="C291" s="11">
        <v>3.1315326690673828E-2</v>
      </c>
      <c r="D291" s="11">
        <v>1.9213840365409851E-2</v>
      </c>
      <c r="E291" s="11">
        <v>0.55549367518918491</v>
      </c>
      <c r="F291" s="11">
        <v>0</v>
      </c>
      <c r="G291" s="11">
        <v>5.1097452640533447E-2</v>
      </c>
      <c r="H291" s="40">
        <v>6.6260852055517359E-4</v>
      </c>
      <c r="I291" s="40">
        <v>1.4062455222160501</v>
      </c>
      <c r="J291" s="59">
        <v>0</v>
      </c>
      <c r="K291" s="59">
        <v>6595.4308956861496</v>
      </c>
      <c r="L291" s="59">
        <v>0</v>
      </c>
      <c r="M291" s="11">
        <v>0.80017471313476562</v>
      </c>
      <c r="N291" s="11">
        <v>0.74974727630615234</v>
      </c>
      <c r="O291" s="11">
        <v>0.26101505756378174</v>
      </c>
      <c r="Q291" s="59">
        <v>13.633502113797624</v>
      </c>
      <c r="R291" s="78">
        <v>587.97779717510093</v>
      </c>
      <c r="S291" s="78">
        <v>13.658812599959088</v>
      </c>
      <c r="T291" s="78">
        <v>687.86741873288702</v>
      </c>
      <c r="U291" s="78">
        <v>2.5310486161464141E-2</v>
      </c>
      <c r="V291" s="78">
        <v>99.889621557786086</v>
      </c>
      <c r="Y291" s="28"/>
      <c r="Z291" s="28"/>
      <c r="AK291" s="28"/>
      <c r="AS291" s="28"/>
      <c r="AT291" s="28"/>
    </row>
    <row r="292" spans="3:46" x14ac:dyDescent="0.15">
      <c r="C292" s="11">
        <v>1.4878064393997192E-2</v>
      </c>
      <c r="D292" s="11">
        <v>8.4196925163269043E-3</v>
      </c>
      <c r="E292" s="11">
        <v>0.14501779331293888</v>
      </c>
      <c r="F292" s="11">
        <v>0</v>
      </c>
      <c r="G292" s="11">
        <v>2.7128800749778748E-2</v>
      </c>
      <c r="H292" s="40">
        <v>3.8338067374247246E-4</v>
      </c>
      <c r="I292" s="40">
        <v>1.5177004268771941</v>
      </c>
      <c r="J292" s="59">
        <v>0</v>
      </c>
      <c r="K292" s="59">
        <v>6088.505033403635</v>
      </c>
      <c r="L292" s="59">
        <v>0</v>
      </c>
      <c r="M292" s="11">
        <v>0.87532693147659302</v>
      </c>
      <c r="N292" s="11">
        <v>0.76022523641586304</v>
      </c>
      <c r="O292" s="11">
        <v>0.27113461494445801</v>
      </c>
      <c r="Q292" s="59">
        <v>15.167718496315954</v>
      </c>
      <c r="R292" s="78">
        <v>523.97517261183589</v>
      </c>
      <c r="S292" s="78">
        <v>15.221950368408962</v>
      </c>
      <c r="T292" s="78">
        <v>598.17957865252458</v>
      </c>
      <c r="U292" s="78">
        <v>5.4231872093007283E-2</v>
      </c>
      <c r="V292" s="78">
        <v>74.204406040688696</v>
      </c>
      <c r="Y292" s="28"/>
      <c r="Z292" s="28"/>
      <c r="AK292" s="28"/>
      <c r="AS292" s="28"/>
      <c r="AT292" s="28"/>
    </row>
    <row r="293" spans="3:46" x14ac:dyDescent="0.15">
      <c r="C293" s="11">
        <v>9.5437169075012207E-3</v>
      </c>
      <c r="D293" s="11">
        <v>2.5601387023925781E-3</v>
      </c>
      <c r="E293" s="11">
        <v>0.35410448478589379</v>
      </c>
      <c r="F293" s="11">
        <v>0</v>
      </c>
      <c r="G293" s="11">
        <v>6.7995309829711914E-2</v>
      </c>
      <c r="H293" s="40">
        <v>5.227780594826637E-4</v>
      </c>
      <c r="I293" s="40">
        <v>1.4638303182076722</v>
      </c>
      <c r="J293" s="59">
        <v>0</v>
      </c>
      <c r="K293" s="59">
        <v>3792.4549542367458</v>
      </c>
      <c r="L293" s="59">
        <v>0</v>
      </c>
      <c r="M293" s="11">
        <v>0.86278876662254333</v>
      </c>
      <c r="N293" s="11">
        <v>0.84047794342041016</v>
      </c>
      <c r="O293" s="11">
        <v>0.26294732093811035</v>
      </c>
      <c r="Q293" s="59">
        <v>15.048257122852869</v>
      </c>
      <c r="R293" s="78">
        <v>509.7374822312442</v>
      </c>
      <c r="S293" s="78">
        <v>15.077819172252262</v>
      </c>
      <c r="T293" s="78">
        <v>620.57118109208909</v>
      </c>
      <c r="U293" s="78">
        <v>2.9562049399393331E-2</v>
      </c>
      <c r="V293" s="78">
        <v>110.83369886084489</v>
      </c>
      <c r="Y293" s="28"/>
      <c r="Z293" s="28"/>
      <c r="AK293" s="28"/>
      <c r="AS293" s="28"/>
      <c r="AT293" s="28"/>
    </row>
    <row r="294" spans="3:46" x14ac:dyDescent="0.15">
      <c r="C294" s="11">
        <v>3.8379907608032227E-2</v>
      </c>
      <c r="D294" s="11">
        <v>2.2984206676483154E-2</v>
      </c>
      <c r="E294" s="11">
        <v>0.18415938992885136</v>
      </c>
      <c r="F294" s="11">
        <v>0</v>
      </c>
      <c r="G294" s="11">
        <v>3.4238129854202271E-2</v>
      </c>
      <c r="H294" s="40">
        <v>4.1717750566944877E-4</v>
      </c>
      <c r="I294" s="40">
        <v>1.5310331493622513</v>
      </c>
      <c r="J294" s="59">
        <v>0</v>
      </c>
      <c r="K294" s="59">
        <v>5968.3620929718018</v>
      </c>
      <c r="L294" s="59">
        <v>0</v>
      </c>
      <c r="M294" s="11">
        <v>0.86194548010826111</v>
      </c>
      <c r="N294" s="11">
        <v>0.81239199638366699</v>
      </c>
      <c r="O294" s="11">
        <v>0.29551070928573608</v>
      </c>
      <c r="Q294" s="59">
        <v>14.587943775758133</v>
      </c>
      <c r="R294" s="78">
        <v>539.4127983533831</v>
      </c>
      <c r="S294" s="78">
        <v>14.630766825511161</v>
      </c>
      <c r="T294" s="78">
        <v>606.28640485763344</v>
      </c>
      <c r="U294" s="78">
        <v>4.2823049753028641E-2</v>
      </c>
      <c r="V294" s="78">
        <v>66.873606504250347</v>
      </c>
      <c r="Y294" s="28"/>
      <c r="Z294" s="28"/>
      <c r="AK294" s="28"/>
      <c r="AS294" s="28"/>
      <c r="AT294" s="28"/>
    </row>
    <row r="295" spans="3:46" x14ac:dyDescent="0.15">
      <c r="C295" s="11">
        <v>1.7680823802947998E-2</v>
      </c>
      <c r="D295" s="11">
        <v>5.0613880157470703E-3</v>
      </c>
      <c r="E295" s="11">
        <v>0.28404971919700883</v>
      </c>
      <c r="F295" s="11">
        <v>0</v>
      </c>
      <c r="G295" s="11">
        <v>3.3998221158981323E-2</v>
      </c>
      <c r="H295" s="40">
        <v>4.3444455686535665E-4</v>
      </c>
      <c r="I295" s="40">
        <v>1.4725034362317295</v>
      </c>
      <c r="J295" s="59">
        <v>0</v>
      </c>
      <c r="K295" s="59">
        <v>5609.5956824719906</v>
      </c>
      <c r="L295" s="59">
        <v>0</v>
      </c>
      <c r="M295" s="11">
        <v>0.85519593954086304</v>
      </c>
      <c r="N295" s="11">
        <v>0.80894589424133301</v>
      </c>
      <c r="O295" s="11">
        <v>0.26954519748687744</v>
      </c>
      <c r="Q295" s="59">
        <v>14.797641211122762</v>
      </c>
      <c r="R295" s="78">
        <v>517.17663434260021</v>
      </c>
      <c r="S295" s="78">
        <v>14.826861685453851</v>
      </c>
      <c r="T295" s="78">
        <v>614.48055985090502</v>
      </c>
      <c r="U295" s="78">
        <v>2.9220474331088653E-2</v>
      </c>
      <c r="V295" s="78">
        <v>97.303925508304815</v>
      </c>
      <c r="Y295" s="28"/>
      <c r="Z295" s="28"/>
      <c r="AK295" s="28"/>
      <c r="AS295" s="28"/>
      <c r="AT295" s="28"/>
    </row>
    <row r="296" spans="3:46" x14ac:dyDescent="0.15">
      <c r="C296" s="11">
        <v>2.0426094532012939E-2</v>
      </c>
      <c r="D296" s="11">
        <v>3.562629222869873E-2</v>
      </c>
      <c r="E296" s="11">
        <v>0.15044955819333716</v>
      </c>
      <c r="F296" s="11">
        <v>0</v>
      </c>
      <c r="G296" s="11">
        <v>1.2144267559051514E-2</v>
      </c>
      <c r="H296" s="40">
        <v>5.1201789991225358E-4</v>
      </c>
      <c r="I296" s="40">
        <v>1.4292687765312277</v>
      </c>
      <c r="J296" s="59">
        <v>0</v>
      </c>
      <c r="K296" s="59">
        <v>4885.9277740120888</v>
      </c>
      <c r="L296" s="59">
        <v>0</v>
      </c>
      <c r="M296" s="11">
        <v>0.82810419797897339</v>
      </c>
      <c r="N296" s="11">
        <v>0.79505860805511475</v>
      </c>
      <c r="O296" s="11">
        <v>0.27401018142700195</v>
      </c>
      <c r="Q296" s="59">
        <v>14.28660903128101</v>
      </c>
      <c r="R296" s="78">
        <v>491.35003701172877</v>
      </c>
      <c r="S296" s="78">
        <v>14.32207086554585</v>
      </c>
      <c r="T296" s="78">
        <v>593.90130563529692</v>
      </c>
      <c r="U296" s="78">
        <v>3.5461834264840064E-2</v>
      </c>
      <c r="V296" s="78">
        <v>102.55126862356815</v>
      </c>
      <c r="Y296" s="28"/>
      <c r="Z296" s="28"/>
      <c r="AK296" s="28"/>
      <c r="AS296" s="28"/>
      <c r="AT296" s="28"/>
    </row>
    <row r="297" spans="3:46" x14ac:dyDescent="0.15">
      <c r="C297" s="11">
        <v>4.4146478176116943E-3</v>
      </c>
      <c r="D297" s="11">
        <v>9.4181150197982788E-3</v>
      </c>
      <c r="E297" s="11">
        <v>0.18008696843122193</v>
      </c>
      <c r="F297" s="11">
        <v>0</v>
      </c>
      <c r="G297" s="11">
        <v>9.6465110778808594E-2</v>
      </c>
      <c r="H297" s="40">
        <v>5.5020072887130439E-4</v>
      </c>
      <c r="I297" s="40">
        <v>1.498856673797361</v>
      </c>
      <c r="J297" s="59">
        <v>0</v>
      </c>
      <c r="K297" s="59">
        <v>3399.1038799285889</v>
      </c>
      <c r="L297" s="59">
        <v>0</v>
      </c>
      <c r="M297" s="11">
        <v>0.86896798014640808</v>
      </c>
      <c r="N297" s="11">
        <v>0.75518345832824707</v>
      </c>
      <c r="O297" s="11">
        <v>0.29445800185203552</v>
      </c>
      <c r="Q297" s="59">
        <v>15.183371330626382</v>
      </c>
      <c r="R297" s="78">
        <v>528.91810675578654</v>
      </c>
      <c r="S297" s="78">
        <v>15.26322919581715</v>
      </c>
      <c r="T297" s="78">
        <v>603.81577563484655</v>
      </c>
      <c r="U297" s="78">
        <v>7.9857865190767541E-2</v>
      </c>
      <c r="V297" s="78">
        <v>74.897668879060006</v>
      </c>
      <c r="Y297" s="28"/>
      <c r="Z297" s="28"/>
      <c r="AK297" s="28"/>
      <c r="AS297" s="28"/>
      <c r="AT297" s="28"/>
    </row>
    <row r="298" spans="3:46" x14ac:dyDescent="0.15">
      <c r="C298" s="11">
        <v>2.151818573474884E-2</v>
      </c>
      <c r="D298" s="11">
        <v>1.0505318641662598E-2</v>
      </c>
      <c r="E298" s="11">
        <v>0.25706549460576117</v>
      </c>
      <c r="F298" s="11">
        <v>0</v>
      </c>
      <c r="G298" s="11">
        <v>6.9551348686218262E-2</v>
      </c>
      <c r="H298" s="40">
        <v>6.9009353041131103E-4</v>
      </c>
      <c r="I298" s="40">
        <v>1.3889723736618158</v>
      </c>
      <c r="J298" s="59">
        <v>0</v>
      </c>
      <c r="K298" s="59">
        <v>3845.9827192127705</v>
      </c>
      <c r="L298" s="59">
        <v>0</v>
      </c>
      <c r="M298" s="11">
        <v>0.8839600682258606</v>
      </c>
      <c r="N298" s="11">
        <v>0.7589988112449646</v>
      </c>
      <c r="O298" s="11">
        <v>0.29782062768936157</v>
      </c>
      <c r="Q298" s="59">
        <v>15.190064338863497</v>
      </c>
      <c r="R298" s="78">
        <v>517.42109875041945</v>
      </c>
      <c r="S298" s="78">
        <v>15.254885518364498</v>
      </c>
      <c r="T298" s="78">
        <v>611.26059124189044</v>
      </c>
      <c r="U298" s="78">
        <v>6.4821179501000969E-2</v>
      </c>
      <c r="V298" s="78">
        <v>93.839492491470992</v>
      </c>
      <c r="Y298" s="28"/>
      <c r="Z298" s="28"/>
      <c r="AK298" s="28"/>
      <c r="AS298" s="28"/>
      <c r="AT298" s="28"/>
    </row>
    <row r="299" spans="3:46" x14ac:dyDescent="0.15">
      <c r="C299" s="11">
        <v>2.0115330815315247E-2</v>
      </c>
      <c r="D299" s="11">
        <v>6.8028569221496582E-3</v>
      </c>
      <c r="E299" s="11">
        <v>0.32586426768310633</v>
      </c>
      <c r="F299" s="11">
        <v>0</v>
      </c>
      <c r="G299" s="11">
        <v>2.23102867603302E-2</v>
      </c>
      <c r="H299" s="40">
        <v>3.4446136153230703E-4</v>
      </c>
      <c r="I299" s="40">
        <v>1.4749824156254279</v>
      </c>
      <c r="J299" s="59">
        <v>0</v>
      </c>
      <c r="K299" s="59">
        <v>6089.8903757333755</v>
      </c>
      <c r="L299" s="59">
        <v>0</v>
      </c>
      <c r="M299" s="11">
        <v>0.91303062438964844</v>
      </c>
      <c r="N299" s="11">
        <v>0.79523277282714844</v>
      </c>
      <c r="O299" s="11">
        <v>0.33201062679290771</v>
      </c>
      <c r="Q299" s="59">
        <v>15.753743578162663</v>
      </c>
      <c r="R299" s="78">
        <v>494.13198996325099</v>
      </c>
      <c r="S299" s="78">
        <v>15.78673708552332</v>
      </c>
      <c r="T299" s="78">
        <v>611.9798461824704</v>
      </c>
      <c r="U299" s="78">
        <v>3.2993507360657759E-2</v>
      </c>
      <c r="V299" s="78">
        <v>117.84785621921941</v>
      </c>
      <c r="Y299" s="28"/>
      <c r="Z299" s="28"/>
      <c r="AK299" s="28"/>
      <c r="AS299" s="28"/>
      <c r="AT299" s="28"/>
    </row>
    <row r="300" spans="3:46" x14ac:dyDescent="0.15">
      <c r="C300" s="11">
        <v>8.6298286914825439E-3</v>
      </c>
      <c r="D300" s="11">
        <v>1.472155749797821E-2</v>
      </c>
      <c r="E300" s="11">
        <v>0.12842813813607154</v>
      </c>
      <c r="F300" s="11">
        <v>0</v>
      </c>
      <c r="G300" s="11">
        <v>3.5779953002929688E-2</v>
      </c>
      <c r="H300" s="40">
        <v>6.4681309818803766E-4</v>
      </c>
      <c r="I300" s="40">
        <v>1.4226746105165415</v>
      </c>
      <c r="J300" s="59">
        <v>0</v>
      </c>
      <c r="K300" s="59">
        <v>7306.7191988229752</v>
      </c>
      <c r="L300" s="59">
        <v>0</v>
      </c>
      <c r="M300" s="11">
        <v>0.80828869342803955</v>
      </c>
      <c r="N300" s="11">
        <v>0.80781269073486328</v>
      </c>
      <c r="O300" s="11">
        <v>0.32797044515609741</v>
      </c>
      <c r="Q300" s="59">
        <v>14.12082460338841</v>
      </c>
      <c r="R300" s="78">
        <v>602.74940133122459</v>
      </c>
      <c r="S300" s="78">
        <v>14.149674276699306</v>
      </c>
      <c r="T300" s="78">
        <v>606.38427540258829</v>
      </c>
      <c r="U300" s="78">
        <v>2.8849673310896051E-2</v>
      </c>
      <c r="V300" s="78">
        <v>3.6348740713636971</v>
      </c>
      <c r="Y300" s="28"/>
      <c r="Z300" s="28"/>
      <c r="AK300" s="28"/>
      <c r="AS300" s="28"/>
      <c r="AT300" s="28"/>
    </row>
    <row r="301" spans="3:46" x14ac:dyDescent="0.15">
      <c r="C301" s="11">
        <v>1.0724171996116638E-2</v>
      </c>
      <c r="D301" s="11">
        <v>9.6528977155685425E-3</v>
      </c>
      <c r="E301" s="11">
        <v>0.22394562788339659</v>
      </c>
      <c r="F301" s="11">
        <v>0</v>
      </c>
      <c r="G301" s="11">
        <v>2.3668348789215088E-2</v>
      </c>
      <c r="H301" s="40">
        <v>5.1601640192478707E-4</v>
      </c>
      <c r="I301" s="40">
        <v>1.398871228915141</v>
      </c>
      <c r="J301" s="59">
        <v>0</v>
      </c>
      <c r="K301" s="59">
        <v>4981.6281534731388</v>
      </c>
      <c r="L301" s="59">
        <v>0</v>
      </c>
      <c r="M301" s="11">
        <v>0.87668883800506592</v>
      </c>
      <c r="N301" s="11">
        <v>0.72045630216598511</v>
      </c>
      <c r="O301" s="11">
        <v>0.27950114011764526</v>
      </c>
      <c r="Q301" s="59">
        <v>15.247685671421115</v>
      </c>
      <c r="R301" s="78">
        <v>493.51468651545611</v>
      </c>
      <c r="S301" s="78">
        <v>15.30307740910281</v>
      </c>
      <c r="T301" s="78">
        <v>601.60199830231386</v>
      </c>
      <c r="U301" s="78">
        <v>5.5391737681695474E-2</v>
      </c>
      <c r="V301" s="78">
        <v>108.08731178685775</v>
      </c>
      <c r="Y301" s="28"/>
      <c r="Z301" s="28"/>
      <c r="AK301" s="28"/>
      <c r="AS301" s="28"/>
      <c r="AT301" s="28"/>
    </row>
    <row r="302" spans="3:46" x14ac:dyDescent="0.15">
      <c r="C302" s="11">
        <v>1.7968818545341492E-2</v>
      </c>
      <c r="D302" s="11">
        <v>1.4343082904815674E-2</v>
      </c>
      <c r="E302" s="11">
        <v>0.18841044625919182</v>
      </c>
      <c r="F302" s="11">
        <v>0</v>
      </c>
      <c r="G302" s="11">
        <v>2.68096923828125E-2</v>
      </c>
      <c r="H302" s="40">
        <v>4.0579718618127553E-4</v>
      </c>
      <c r="I302" s="40">
        <v>1.4270300474546882</v>
      </c>
      <c r="J302" s="59">
        <v>0</v>
      </c>
      <c r="K302" s="59">
        <v>6418.0558547377586</v>
      </c>
      <c r="L302" s="59">
        <v>0</v>
      </c>
      <c r="M302" s="11">
        <v>0.84041762351989746</v>
      </c>
      <c r="N302" s="11">
        <v>0.76370930671691895</v>
      </c>
      <c r="O302" s="11">
        <v>0.3082231879234314</v>
      </c>
      <c r="Q302" s="59">
        <v>14.537460702885021</v>
      </c>
      <c r="R302" s="78">
        <v>504.88030318114551</v>
      </c>
      <c r="S302" s="78">
        <v>14.570278786271452</v>
      </c>
      <c r="T302" s="78">
        <v>600.15922589827733</v>
      </c>
      <c r="U302" s="78">
        <v>3.2818083386430885E-2</v>
      </c>
      <c r="V302" s="78">
        <v>95.27892271713182</v>
      </c>
      <c r="Y302" s="28"/>
      <c r="Z302" s="28"/>
      <c r="AK302" s="28"/>
      <c r="AS302" s="28"/>
      <c r="AT302" s="28"/>
    </row>
    <row r="303" spans="3:46" x14ac:dyDescent="0.15">
      <c r="C303" s="11">
        <v>8.8353157043457031E-3</v>
      </c>
      <c r="D303" s="11">
        <v>1.4309480786323547E-2</v>
      </c>
      <c r="E303" s="11">
        <v>0.48010482712229025</v>
      </c>
      <c r="F303" s="11">
        <v>0</v>
      </c>
      <c r="G303" s="11">
        <v>4.9939841032028198E-2</v>
      </c>
      <c r="H303" s="40">
        <v>2.9305332246865501E-4</v>
      </c>
      <c r="I303" s="40">
        <v>1.5389555380157642</v>
      </c>
      <c r="J303" s="59">
        <v>0</v>
      </c>
      <c r="K303" s="59">
        <v>5069.0979696810246</v>
      </c>
      <c r="L303" s="59">
        <v>0</v>
      </c>
      <c r="M303" s="11">
        <v>0.86903411149978638</v>
      </c>
      <c r="N303" s="11">
        <v>0.71020984649658203</v>
      </c>
      <c r="O303" s="11">
        <v>0.33069992065429688</v>
      </c>
      <c r="Q303" s="59">
        <v>15.149674501714751</v>
      </c>
      <c r="R303" s="78">
        <v>493.80331109988305</v>
      </c>
      <c r="S303" s="78">
        <v>15.183135261228855</v>
      </c>
      <c r="T303" s="78">
        <v>627.32586354763623</v>
      </c>
      <c r="U303" s="78">
        <v>3.3460759514104765E-2</v>
      </c>
      <c r="V303" s="78">
        <v>133.52255244775318</v>
      </c>
      <c r="Y303" s="28"/>
      <c r="Z303" s="28"/>
      <c r="AK303" s="28"/>
      <c r="AS303" s="28"/>
      <c r="AT303" s="28"/>
    </row>
    <row r="304" spans="3:46" x14ac:dyDescent="0.15">
      <c r="C304" s="11">
        <v>3.2544910907745361E-2</v>
      </c>
      <c r="D304" s="11">
        <v>2.9741942882537842E-2</v>
      </c>
      <c r="E304" s="11">
        <v>0.27998654904534809</v>
      </c>
      <c r="F304" s="11">
        <v>0</v>
      </c>
      <c r="G304" s="11">
        <v>5.253329873085022E-2</v>
      </c>
      <c r="H304" s="40">
        <v>6.5784402968994851E-4</v>
      </c>
      <c r="I304" s="40">
        <v>1.4485641441546528</v>
      </c>
      <c r="J304" s="59">
        <v>0</v>
      </c>
      <c r="K304" s="59">
        <v>4379.9751438200474</v>
      </c>
      <c r="L304" s="59">
        <v>0</v>
      </c>
      <c r="M304" s="11">
        <v>0.87316316366195679</v>
      </c>
      <c r="N304" s="11">
        <v>0.75256574153900146</v>
      </c>
      <c r="O304" s="11">
        <v>0.32522577047348022</v>
      </c>
      <c r="Q304" s="59">
        <v>14.821637704723118</v>
      </c>
      <c r="R304" s="78">
        <v>538.48622477455513</v>
      </c>
      <c r="S304" s="78">
        <v>14.892728438927181</v>
      </c>
      <c r="T304" s="78">
        <v>620.23748937880953</v>
      </c>
      <c r="U304" s="78">
        <v>7.1090734204062755E-2</v>
      </c>
      <c r="V304" s="78">
        <v>81.751264604254402</v>
      </c>
      <c r="Y304" s="28"/>
      <c r="Z304" s="28"/>
      <c r="AK304" s="28"/>
      <c r="AS304" s="28"/>
      <c r="AT304" s="28"/>
    </row>
    <row r="305" spans="3:46" x14ac:dyDescent="0.15">
      <c r="C305" s="11">
        <v>2.7525424957275391E-3</v>
      </c>
      <c r="D305" s="11">
        <v>1.85089111328125E-2</v>
      </c>
      <c r="E305" s="11">
        <v>0.55938878260574298</v>
      </c>
      <c r="F305" s="11">
        <v>0</v>
      </c>
      <c r="G305" s="11">
        <v>2.8104513883590698E-2</v>
      </c>
      <c r="H305" s="40">
        <v>3.6633269984142014E-4</v>
      </c>
      <c r="I305" s="40">
        <v>1.5126103446997474</v>
      </c>
      <c r="J305" s="59">
        <v>0</v>
      </c>
      <c r="K305" s="59">
        <v>3873.0516098439693</v>
      </c>
      <c r="L305" s="59">
        <v>0</v>
      </c>
      <c r="M305" s="11">
        <v>0.85223889350891113</v>
      </c>
      <c r="N305" s="11">
        <v>0.71226465702056885</v>
      </c>
      <c r="O305" s="11">
        <v>0.33275294303894043</v>
      </c>
      <c r="Q305" s="59">
        <v>14.944830708212415</v>
      </c>
      <c r="R305" s="78">
        <v>473.15792188245291</v>
      </c>
      <c r="S305" s="78">
        <v>14.974133355404575</v>
      </c>
      <c r="T305" s="78">
        <v>623.65294429413791</v>
      </c>
      <c r="U305" s="78">
        <v>2.9302647192160691E-2</v>
      </c>
      <c r="V305" s="78">
        <v>150.495022411685</v>
      </c>
      <c r="Y305" s="28"/>
      <c r="Z305" s="28"/>
      <c r="AK305" s="28"/>
      <c r="AS305" s="28"/>
      <c r="AT305" s="28"/>
    </row>
    <row r="306" spans="3:46" x14ac:dyDescent="0.15">
      <c r="C306" s="11">
        <v>5.1494836807250977E-3</v>
      </c>
      <c r="D306" s="11">
        <v>1.229451596736908E-2</v>
      </c>
      <c r="E306" s="11">
        <v>0.12414209680024327</v>
      </c>
      <c r="F306" s="11">
        <v>0</v>
      </c>
      <c r="G306" s="11">
        <v>4.1734397411346436E-2</v>
      </c>
      <c r="H306" s="40">
        <v>4.576159802437768E-4</v>
      </c>
      <c r="I306" s="40">
        <v>1.4565093059616399</v>
      </c>
      <c r="J306" s="59">
        <v>0</v>
      </c>
      <c r="K306" s="59">
        <v>4616.8710105121136</v>
      </c>
      <c r="L306" s="59">
        <v>0</v>
      </c>
      <c r="M306" s="11">
        <v>0.8472130298614502</v>
      </c>
      <c r="N306" s="11">
        <v>0.72140014171600342</v>
      </c>
      <c r="O306" s="11">
        <v>0.30777579545974731</v>
      </c>
      <c r="Q306" s="59">
        <v>14.820363499479573</v>
      </c>
      <c r="R306" s="78">
        <v>501.24413304450388</v>
      </c>
      <c r="S306" s="78">
        <v>14.879221436713321</v>
      </c>
      <c r="T306" s="78">
        <v>592.54074385598312</v>
      </c>
      <c r="U306" s="78">
        <v>5.8857937233748103E-2</v>
      </c>
      <c r="V306" s="78">
        <v>91.296610811479241</v>
      </c>
      <c r="Y306" s="28"/>
      <c r="Z306" s="28"/>
      <c r="AK306" s="28"/>
      <c r="AS306" s="28"/>
      <c r="AT306" s="28"/>
    </row>
    <row r="307" spans="3:46" x14ac:dyDescent="0.15">
      <c r="C307" s="11">
        <v>1.8167540431022644E-2</v>
      </c>
      <c r="D307" s="11">
        <v>3.5615742206573486E-2</v>
      </c>
      <c r="E307" s="11">
        <v>0.16703502126921621</v>
      </c>
      <c r="F307" s="11">
        <v>0</v>
      </c>
      <c r="G307" s="11">
        <v>9.4452857971191406E-2</v>
      </c>
      <c r="H307" s="40">
        <v>5.498626698565741E-4</v>
      </c>
      <c r="I307" s="40">
        <v>1.4202188811520031</v>
      </c>
      <c r="J307" s="59">
        <v>0</v>
      </c>
      <c r="K307" s="59">
        <v>4374.1078115999699</v>
      </c>
      <c r="L307" s="59">
        <v>0</v>
      </c>
      <c r="M307" s="11">
        <v>0.83359420299530029</v>
      </c>
      <c r="N307" s="11">
        <v>0.66405963897705078</v>
      </c>
      <c r="O307" s="11">
        <v>0.35733294486999512</v>
      </c>
      <c r="Q307" s="59">
        <v>14.360255799449542</v>
      </c>
      <c r="R307" s="78">
        <v>527.93319289586964</v>
      </c>
      <c r="S307" s="78">
        <v>14.440326835049651</v>
      </c>
      <c r="T307" s="78">
        <v>601.74201966907481</v>
      </c>
      <c r="U307" s="78">
        <v>8.0071035600109752E-2</v>
      </c>
      <c r="V307" s="78">
        <v>73.808826773205169</v>
      </c>
      <c r="Y307" s="28"/>
      <c r="Z307" s="28"/>
      <c r="AK307" s="28"/>
      <c r="AS307" s="28"/>
      <c r="AT307" s="28"/>
    </row>
    <row r="308" spans="3:46" x14ac:dyDescent="0.15">
      <c r="C308" s="11">
        <v>5.7757347822189331E-3</v>
      </c>
      <c r="D308" s="11">
        <v>1.4383450150489807E-2</v>
      </c>
      <c r="E308" s="11">
        <v>0.2962232661068584</v>
      </c>
      <c r="F308" s="11">
        <v>0</v>
      </c>
      <c r="G308" s="11">
        <v>2.9179826378822327E-2</v>
      </c>
      <c r="H308" s="40">
        <v>5.0943344064986675E-4</v>
      </c>
      <c r="I308" s="40">
        <v>1.5186173383777952</v>
      </c>
      <c r="J308" s="59">
        <v>0</v>
      </c>
      <c r="K308" s="59">
        <v>4939.0061758458614</v>
      </c>
      <c r="L308" s="59">
        <v>0</v>
      </c>
      <c r="M308" s="11">
        <v>0.87127923965454102</v>
      </c>
      <c r="N308" s="11">
        <v>0.68310022354125977</v>
      </c>
      <c r="O308" s="11">
        <v>0.26678597927093506</v>
      </c>
      <c r="Q308" s="59">
        <v>15.18363368144195</v>
      </c>
      <c r="R308" s="78">
        <v>536.27797590769092</v>
      </c>
      <c r="S308" s="78">
        <v>15.265495555525675</v>
      </c>
      <c r="T308" s="78">
        <v>621.95242229870007</v>
      </c>
      <c r="U308" s="78">
        <v>8.1861874083724473E-2</v>
      </c>
      <c r="V308" s="78">
        <v>85.674446391009155</v>
      </c>
      <c r="Y308" s="28"/>
      <c r="Z308" s="28"/>
      <c r="AK308" s="28"/>
      <c r="AS308" s="28"/>
      <c r="AT308" s="28"/>
    </row>
    <row r="309" spans="3:46" x14ac:dyDescent="0.15">
      <c r="C309" s="11">
        <v>2.4140655994415283E-2</v>
      </c>
      <c r="D309" s="11">
        <v>3.6820888519287109E-2</v>
      </c>
      <c r="E309" s="11">
        <v>0.19804418020454267</v>
      </c>
      <c r="F309" s="11">
        <v>0</v>
      </c>
      <c r="G309" s="11">
        <v>2.1418571472167969E-2</v>
      </c>
      <c r="H309" s="40">
        <v>5.9342937764030295E-4</v>
      </c>
      <c r="I309" s="40">
        <v>1.4302419708439578</v>
      </c>
      <c r="J309" s="59">
        <v>0</v>
      </c>
      <c r="K309" s="59">
        <v>10016.709566116333</v>
      </c>
      <c r="L309" s="59">
        <v>0</v>
      </c>
      <c r="M309" s="11">
        <v>0.83516335487365723</v>
      </c>
      <c r="N309" s="11">
        <v>0.75763660669326782</v>
      </c>
      <c r="O309" s="11">
        <v>0.33691930770874023</v>
      </c>
      <c r="Q309" s="59">
        <v>14.331582703152089</v>
      </c>
      <c r="R309" s="78">
        <v>637.42213283102922</v>
      </c>
      <c r="S309" s="78">
        <v>14.382847829333487</v>
      </c>
      <c r="T309" s="78">
        <v>628.11811419797664</v>
      </c>
      <c r="U309" s="78">
        <v>5.1265126181398557E-2</v>
      </c>
      <c r="V309" s="78">
        <v>-9.3040186330525785</v>
      </c>
      <c r="Y309" s="28"/>
      <c r="Z309" s="28"/>
      <c r="AK309" s="28"/>
      <c r="AS309" s="28"/>
      <c r="AT309" s="28"/>
    </row>
    <row r="310" spans="3:46" x14ac:dyDescent="0.15">
      <c r="C310" s="11">
        <v>9.4361603260040283E-3</v>
      </c>
      <c r="D310" s="11">
        <v>5.2989482879638672E-2</v>
      </c>
      <c r="E310" s="11">
        <v>0.20876216705040063</v>
      </c>
      <c r="F310" s="11">
        <v>0</v>
      </c>
      <c r="G310" s="11">
        <v>3.3467948436737061E-2</v>
      </c>
      <c r="H310" s="40">
        <v>7.7894054193728259E-4</v>
      </c>
      <c r="I310" s="40">
        <v>1.2952814824728855</v>
      </c>
      <c r="J310" s="59">
        <v>0</v>
      </c>
      <c r="K310" s="59">
        <v>3264.2390578985214</v>
      </c>
      <c r="L310" s="59">
        <v>0</v>
      </c>
      <c r="M310" s="11">
        <v>0.8599657416343689</v>
      </c>
      <c r="N310" s="11">
        <v>0.75511074066162109</v>
      </c>
      <c r="O310" s="11">
        <v>0.30252918601036072</v>
      </c>
      <c r="Q310" s="59">
        <v>14.970629993530357</v>
      </c>
      <c r="R310" s="78">
        <v>470.03280590350687</v>
      </c>
      <c r="S310" s="78">
        <v>15.030577828062468</v>
      </c>
      <c r="T310" s="78">
        <v>595.11234174546689</v>
      </c>
      <c r="U310" s="78">
        <v>5.9947834532110278E-2</v>
      </c>
      <c r="V310" s="78">
        <v>125.07953584196002</v>
      </c>
      <c r="Y310" s="28"/>
      <c r="Z310" s="28"/>
      <c r="AK310" s="28"/>
      <c r="AS310" s="28"/>
      <c r="AT310" s="28"/>
    </row>
    <row r="311" spans="3:46" x14ac:dyDescent="0.15">
      <c r="C311" s="11">
        <v>3.1990855932235718E-3</v>
      </c>
      <c r="D311" s="11">
        <v>1.4841467142105103E-2</v>
      </c>
      <c r="E311" s="11">
        <v>0.18142655361795562</v>
      </c>
      <c r="F311" s="11">
        <v>0</v>
      </c>
      <c r="G311" s="11">
        <v>5.4988861083984375E-3</v>
      </c>
      <c r="H311" s="40">
        <v>5.4916616254223295E-4</v>
      </c>
      <c r="I311" s="40">
        <v>1.4209504940622812</v>
      </c>
      <c r="J311" s="59">
        <v>0</v>
      </c>
      <c r="K311" s="59">
        <v>5267.2252058982849</v>
      </c>
      <c r="L311" s="59">
        <v>0</v>
      </c>
      <c r="M311" s="11">
        <v>0.87074488401412964</v>
      </c>
      <c r="N311" s="11">
        <v>0.8214263916015625</v>
      </c>
      <c r="O311" s="11">
        <v>0.31099069118499756</v>
      </c>
      <c r="Q311" s="59">
        <v>15.288544395189611</v>
      </c>
      <c r="R311" s="78">
        <v>501.10747972234753</v>
      </c>
      <c r="S311" s="78">
        <v>15.323353754707245</v>
      </c>
      <c r="T311" s="78">
        <v>598.7746590500326</v>
      </c>
      <c r="U311" s="78">
        <v>3.4809359517634419E-2</v>
      </c>
      <c r="V311" s="78">
        <v>97.667179327685062</v>
      </c>
      <c r="Y311" s="28"/>
      <c r="Z311" s="28"/>
      <c r="AK311" s="28"/>
      <c r="AS311" s="28"/>
      <c r="AT311" s="28"/>
    </row>
    <row r="312" spans="3:46" x14ac:dyDescent="0.15">
      <c r="C312" s="11">
        <v>2.2074997425079346E-2</v>
      </c>
      <c r="D312" s="11">
        <v>2.2215545177459717E-2</v>
      </c>
      <c r="E312" s="11">
        <v>0.45149105670758433</v>
      </c>
      <c r="F312" s="11">
        <v>0</v>
      </c>
      <c r="G312" s="11">
        <v>4.9487590789794922E-2</v>
      </c>
      <c r="H312" s="40">
        <v>4.1669840024564193E-4</v>
      </c>
      <c r="I312" s="40">
        <v>1.4397012208162343</v>
      </c>
      <c r="J312" s="59">
        <v>0</v>
      </c>
      <c r="K312" s="59">
        <v>6358.5257157683372</v>
      </c>
      <c r="L312" s="59">
        <v>0</v>
      </c>
      <c r="M312" s="11">
        <v>0.89298331737518311</v>
      </c>
      <c r="N312" s="11">
        <v>0.71946227550506592</v>
      </c>
      <c r="O312" s="11">
        <v>0.33217000961303711</v>
      </c>
      <c r="Q312" s="59">
        <v>15.350696539591342</v>
      </c>
      <c r="R312" s="78">
        <v>524.68132385448598</v>
      </c>
      <c r="S312" s="78">
        <v>15.391152190605503</v>
      </c>
      <c r="T312" s="78">
        <v>638.53679772619046</v>
      </c>
      <c r="U312" s="78">
        <v>4.0455651014161376E-2</v>
      </c>
      <c r="V312" s="78">
        <v>113.85547387170448</v>
      </c>
      <c r="Y312" s="28"/>
      <c r="Z312" s="28"/>
      <c r="AK312" s="28"/>
      <c r="AS312" s="28"/>
      <c r="AT312" s="28"/>
    </row>
    <row r="313" spans="3:46" x14ac:dyDescent="0.15">
      <c r="C313" s="11">
        <v>1.0257095098495483E-2</v>
      </c>
      <c r="D313" s="11">
        <v>1.6719073057174683E-2</v>
      </c>
      <c r="E313" s="11">
        <v>0.16401323890054892</v>
      </c>
      <c r="F313" s="11">
        <v>0</v>
      </c>
      <c r="G313" s="11">
        <v>4.1730821132659912E-2</v>
      </c>
      <c r="H313" s="40">
        <v>5.4167230663194064E-4</v>
      </c>
      <c r="I313" s="40">
        <v>1.383344467013131</v>
      </c>
      <c r="J313" s="59">
        <v>0</v>
      </c>
      <c r="K313" s="59">
        <v>5890.936590731144</v>
      </c>
      <c r="L313" s="59">
        <v>0</v>
      </c>
      <c r="M313" s="11">
        <v>0.85419279336929321</v>
      </c>
      <c r="N313" s="11">
        <v>0.73114770650863647</v>
      </c>
      <c r="O313" s="11">
        <v>0.2922322154045105</v>
      </c>
      <c r="Q313" s="59">
        <v>14.868116930102241</v>
      </c>
      <c r="R313" s="78">
        <v>524.10453798464403</v>
      </c>
      <c r="S313" s="78">
        <v>14.922459487565403</v>
      </c>
      <c r="T313" s="78">
        <v>600.65748239017262</v>
      </c>
      <c r="U313" s="78">
        <v>5.4342557463161967E-2</v>
      </c>
      <c r="V313" s="78">
        <v>76.552944405528592</v>
      </c>
      <c r="Y313" s="28"/>
      <c r="Z313" s="28"/>
      <c r="AK313" s="28"/>
      <c r="AS313" s="28"/>
      <c r="AT313" s="28"/>
    </row>
    <row r="314" spans="3:46" x14ac:dyDescent="0.15">
      <c r="C314" s="11">
        <v>2.6289224624633789E-3</v>
      </c>
      <c r="D314" s="11">
        <v>8.53729248046875E-3</v>
      </c>
      <c r="E314" s="11">
        <v>0.27859902384255464</v>
      </c>
      <c r="F314" s="11">
        <v>0</v>
      </c>
      <c r="G314" s="11">
        <v>2.0907223224639893E-2</v>
      </c>
      <c r="H314" s="40">
        <v>3.6552618879794865E-4</v>
      </c>
      <c r="I314" s="40">
        <v>1.4278872511597818</v>
      </c>
      <c r="J314" s="59">
        <v>0</v>
      </c>
      <c r="K314" s="59">
        <v>3224.6019691228867</v>
      </c>
      <c r="L314" s="59">
        <v>0</v>
      </c>
      <c r="M314" s="11">
        <v>0.87015044689178467</v>
      </c>
      <c r="N314" s="11">
        <v>0.75644212961196899</v>
      </c>
      <c r="O314" s="11">
        <v>0.29662296175956726</v>
      </c>
      <c r="Q314" s="59">
        <v>15.284426483413975</v>
      </c>
      <c r="R314" s="78">
        <v>443.49763952668121</v>
      </c>
      <c r="S314" s="78">
        <v>15.316839032345673</v>
      </c>
      <c r="T314" s="78">
        <v>592.93298314795823</v>
      </c>
      <c r="U314" s="78">
        <v>3.2412548931697316E-2</v>
      </c>
      <c r="V314" s="78">
        <v>149.43534362127701</v>
      </c>
      <c r="Y314" s="28"/>
      <c r="Z314" s="28"/>
      <c r="AK314" s="28"/>
      <c r="AS314" s="28"/>
      <c r="AT314" s="28"/>
    </row>
    <row r="315" spans="3:46" x14ac:dyDescent="0.15">
      <c r="C315" s="11">
        <v>5.9032440185546875E-3</v>
      </c>
      <c r="D315" s="11">
        <v>4.3688654899597168E-2</v>
      </c>
      <c r="E315" s="11">
        <v>0.15675997183169144</v>
      </c>
      <c r="F315" s="11">
        <v>0</v>
      </c>
      <c r="G315" s="11">
        <v>5.0839066505432129E-2</v>
      </c>
      <c r="H315" s="40">
        <v>6.0700915029855641E-4</v>
      </c>
      <c r="I315" s="40">
        <v>1.3769127110364292</v>
      </c>
      <c r="J315" s="59">
        <v>0</v>
      </c>
      <c r="K315" s="59">
        <v>5891.2741951644421</v>
      </c>
      <c r="L315" s="59">
        <v>0</v>
      </c>
      <c r="M315" s="11">
        <v>0.8232039213180542</v>
      </c>
      <c r="N315" s="11">
        <v>0.75898140668869019</v>
      </c>
      <c r="O315" s="11">
        <v>0.2867092490196228</v>
      </c>
      <c r="Q315" s="59">
        <v>14.392212109311322</v>
      </c>
      <c r="R315" s="78">
        <v>542.67932485640029</v>
      </c>
      <c r="S315" s="78">
        <v>14.444876203507752</v>
      </c>
      <c r="T315" s="78">
        <v>602.68917358195608</v>
      </c>
      <c r="U315" s="78">
        <v>5.2664094196430256E-2</v>
      </c>
      <c r="V315" s="78">
        <v>60.009848725555798</v>
      </c>
      <c r="Y315" s="28"/>
      <c r="Z315" s="28"/>
      <c r="AK315" s="28"/>
      <c r="AS315" s="28"/>
      <c r="AT315" s="28"/>
    </row>
    <row r="316" spans="3:46" x14ac:dyDescent="0.15">
      <c r="C316" s="11">
        <v>1.4640450477600098E-2</v>
      </c>
      <c r="D316" s="11">
        <v>8.090093731880188E-3</v>
      </c>
      <c r="E316" s="11">
        <v>0.22256282730913035</v>
      </c>
      <c r="F316" s="11">
        <v>0</v>
      </c>
      <c r="G316" s="11">
        <v>6.6483080387115479E-2</v>
      </c>
      <c r="H316" s="40">
        <v>4.8684638507010447E-4</v>
      </c>
      <c r="I316" s="40">
        <v>1.3654305548823731</v>
      </c>
      <c r="J316" s="59">
        <v>0</v>
      </c>
      <c r="K316" s="59">
        <v>6537.4746918678284</v>
      </c>
      <c r="L316" s="59">
        <v>0</v>
      </c>
      <c r="M316" s="11">
        <v>0.91525936126708984</v>
      </c>
      <c r="N316" s="11">
        <v>0.73826169967651367</v>
      </c>
      <c r="O316" s="11">
        <v>0.27238082885742188</v>
      </c>
      <c r="Q316" s="59">
        <v>15.857452777188145</v>
      </c>
      <c r="R316" s="78">
        <v>532.58028707711105</v>
      </c>
      <c r="S316" s="78">
        <v>15.913690328076719</v>
      </c>
      <c r="T316" s="78">
        <v>610.19684553967295</v>
      </c>
      <c r="U316" s="78">
        <v>5.6237550888573296E-2</v>
      </c>
      <c r="V316" s="78">
        <v>77.616558462561898</v>
      </c>
      <c r="Y316" s="28"/>
      <c r="Z316" s="28"/>
      <c r="AK316" s="28"/>
      <c r="AS316" s="28"/>
      <c r="AT316" s="28"/>
    </row>
    <row r="317" spans="3:46" x14ac:dyDescent="0.15">
      <c r="C317" s="11">
        <v>5.2113771438598633E-2</v>
      </c>
      <c r="D317" s="11">
        <v>7.1019172668457031E-2</v>
      </c>
      <c r="E317" s="11">
        <v>0.27784916569116858</v>
      </c>
      <c r="F317" s="11">
        <v>0</v>
      </c>
      <c r="G317" s="11">
        <v>3.4559339284896851E-2</v>
      </c>
      <c r="H317" s="40">
        <v>4.2826151563481044E-4</v>
      </c>
      <c r="I317" s="40">
        <v>1.4855449685814559</v>
      </c>
      <c r="J317" s="59">
        <v>0</v>
      </c>
      <c r="K317" s="59">
        <v>4127.5005787611008</v>
      </c>
      <c r="L317" s="59">
        <v>0</v>
      </c>
      <c r="M317" s="11">
        <v>0.89640545845031738</v>
      </c>
      <c r="N317" s="11">
        <v>0.74033045768737793</v>
      </c>
      <c r="O317" s="11">
        <v>0.3405987024307251</v>
      </c>
      <c r="Q317" s="59">
        <v>14.917130237380155</v>
      </c>
      <c r="R317" s="78">
        <v>482.40538211151744</v>
      </c>
      <c r="S317" s="78">
        <v>14.982747519145008</v>
      </c>
      <c r="T317" s="78">
        <v>603.92391578166007</v>
      </c>
      <c r="U317" s="78">
        <v>6.5617281764852819E-2</v>
      </c>
      <c r="V317" s="78">
        <v>121.51853367014263</v>
      </c>
      <c r="Y317" s="28"/>
      <c r="Z317" s="28"/>
      <c r="AK317" s="28"/>
      <c r="AS317" s="28"/>
      <c r="AT317" s="28"/>
    </row>
    <row r="318" spans="3:46" x14ac:dyDescent="0.15">
      <c r="C318" s="11">
        <v>9.4455331563949585E-3</v>
      </c>
      <c r="D318" s="11">
        <v>3.8184046745300293E-2</v>
      </c>
      <c r="E318" s="11">
        <v>0.29558862499789451</v>
      </c>
      <c r="F318" s="11">
        <v>0</v>
      </c>
      <c r="G318" s="11">
        <v>1.707148551940918E-2</v>
      </c>
      <c r="H318" s="40">
        <v>5.1377769991646234E-4</v>
      </c>
      <c r="I318" s="40">
        <v>1.4535845452958078</v>
      </c>
      <c r="J318" s="59">
        <v>0</v>
      </c>
      <c r="K318" s="59">
        <v>4730.1710583269596</v>
      </c>
      <c r="L318" s="59">
        <v>0</v>
      </c>
      <c r="M318" s="11">
        <v>0.83660060167312622</v>
      </c>
      <c r="N318" s="11">
        <v>0.77298378944396973</v>
      </c>
      <c r="O318" s="11">
        <v>0.33872002363204956</v>
      </c>
      <c r="Q318" s="59">
        <v>14.5821437347764</v>
      </c>
      <c r="R318" s="78">
        <v>499.64198794504097</v>
      </c>
      <c r="S318" s="78">
        <v>14.621038247206245</v>
      </c>
      <c r="T318" s="78">
        <v>610.71453720488034</v>
      </c>
      <c r="U318" s="78">
        <v>3.8894512429845207E-2</v>
      </c>
      <c r="V318" s="78">
        <v>111.07254925983938</v>
      </c>
      <c r="Y318" s="28"/>
      <c r="Z318" s="28"/>
      <c r="AK318" s="28"/>
      <c r="AS318" s="28"/>
      <c r="AT318" s="28"/>
    </row>
    <row r="319" spans="3:46" x14ac:dyDescent="0.15">
      <c r="C319" s="11">
        <v>1.8268153071403503E-2</v>
      </c>
      <c r="D319" s="11">
        <v>1.2284457683563232E-2</v>
      </c>
      <c r="E319" s="11">
        <v>0.42212436514876389</v>
      </c>
      <c r="F319" s="11">
        <v>0</v>
      </c>
      <c r="G319" s="11">
        <v>2.9668420553207397E-2</v>
      </c>
      <c r="H319" s="40">
        <v>4.0830091398804855E-4</v>
      </c>
      <c r="I319" s="40">
        <v>1.5365712773239788</v>
      </c>
      <c r="J319" s="59">
        <v>0</v>
      </c>
      <c r="K319" s="59">
        <v>4334.2681601643562</v>
      </c>
      <c r="L319" s="59">
        <v>0</v>
      </c>
      <c r="M319" s="11">
        <v>0.85697686672210693</v>
      </c>
      <c r="N319" s="11">
        <v>0.66371345520019531</v>
      </c>
      <c r="O319" s="11">
        <v>0.2853449285030365</v>
      </c>
      <c r="Q319" s="59">
        <v>14.762704697954234</v>
      </c>
      <c r="R319" s="78">
        <v>498.918815075125</v>
      </c>
      <c r="S319" s="78">
        <v>14.818736613384793</v>
      </c>
      <c r="T319" s="78">
        <v>623.88130984354325</v>
      </c>
      <c r="U319" s="78">
        <v>5.6031915430558854E-2</v>
      </c>
      <c r="V319" s="78">
        <v>124.96249476841825</v>
      </c>
      <c r="Y319" s="28"/>
      <c r="Z319" s="28"/>
      <c r="AK319" s="28"/>
      <c r="AS319" s="28"/>
      <c r="AT319" s="28"/>
    </row>
    <row r="320" spans="3:46" x14ac:dyDescent="0.15">
      <c r="C320" s="11">
        <v>9.5250159502029419E-3</v>
      </c>
      <c r="D320" s="11">
        <v>3.730165958404541E-2</v>
      </c>
      <c r="E320" s="11">
        <v>0.26261778591936091</v>
      </c>
      <c r="F320" s="11">
        <v>0</v>
      </c>
      <c r="G320" s="11">
        <v>5.4100841283798218E-2</v>
      </c>
      <c r="H320" s="40">
        <v>3.0982520713577707E-4</v>
      </c>
      <c r="I320" s="40">
        <v>1.5096532249375312</v>
      </c>
      <c r="J320" s="59">
        <v>0</v>
      </c>
      <c r="K320" s="59">
        <v>3661.0453389585018</v>
      </c>
      <c r="L320" s="59">
        <v>0</v>
      </c>
      <c r="M320" s="11">
        <v>0.80812132358551025</v>
      </c>
      <c r="N320" s="11">
        <v>0.72458624839782715</v>
      </c>
      <c r="O320" s="11">
        <v>0.29191052913665771</v>
      </c>
      <c r="Q320" s="59">
        <v>14.088244794018342</v>
      </c>
      <c r="R320" s="78">
        <v>464.72185917859912</v>
      </c>
      <c r="S320" s="78">
        <v>14.125013368664375</v>
      </c>
      <c r="T320" s="78">
        <v>597.78806632164788</v>
      </c>
      <c r="U320" s="78">
        <v>3.6768574646032448E-2</v>
      </c>
      <c r="V320" s="78">
        <v>133.06620714304876</v>
      </c>
      <c r="Y320" s="28"/>
      <c r="Z320" s="28"/>
      <c r="AK320" s="28"/>
      <c r="AS320" s="28"/>
      <c r="AT320" s="28"/>
    </row>
    <row r="321" spans="3:46" x14ac:dyDescent="0.15">
      <c r="C321" s="11">
        <v>7.7887028455734253E-3</v>
      </c>
      <c r="D321" s="11">
        <v>2.377830445766449E-2</v>
      </c>
      <c r="E321" s="11">
        <v>0.67377271321997556</v>
      </c>
      <c r="F321" s="11">
        <v>0</v>
      </c>
      <c r="G321" s="11">
        <v>8.2924365997314453E-2</v>
      </c>
      <c r="H321" s="40">
        <v>3.3166442459085397E-4</v>
      </c>
      <c r="I321" s="40">
        <v>1.462767037643796</v>
      </c>
      <c r="J321" s="59">
        <v>0</v>
      </c>
      <c r="K321" s="59">
        <v>5977.3796238005161</v>
      </c>
      <c r="L321" s="59">
        <v>0</v>
      </c>
      <c r="M321" s="11">
        <v>0.76610946655273438</v>
      </c>
      <c r="N321" s="11">
        <v>0.65721035003662109</v>
      </c>
      <c r="O321" s="11">
        <v>0.27474385499954224</v>
      </c>
      <c r="Q321" s="59">
        <v>13.376197723761575</v>
      </c>
      <c r="R321" s="78">
        <v>516.52555412759148</v>
      </c>
      <c r="S321" s="78">
        <v>13.392535176259093</v>
      </c>
      <c r="T321" s="78">
        <v>661.92876366364214</v>
      </c>
      <c r="U321" s="78">
        <v>1.6337452497518612E-2</v>
      </c>
      <c r="V321" s="78">
        <v>145.40320953605067</v>
      </c>
      <c r="Y321" s="28"/>
      <c r="Z321" s="28"/>
      <c r="AK321" s="28"/>
      <c r="AS321" s="28"/>
      <c r="AT321" s="28"/>
    </row>
    <row r="322" spans="3:46" x14ac:dyDescent="0.15">
      <c r="C322" s="11">
        <v>1.8042623996734619E-2</v>
      </c>
      <c r="D322" s="11">
        <v>1.9176989793777466E-2</v>
      </c>
      <c r="E322" s="11">
        <v>0.19016844881208331</v>
      </c>
      <c r="F322" s="11">
        <v>0</v>
      </c>
      <c r="G322" s="11">
        <v>3.3587098121643066E-2</v>
      </c>
      <c r="H322" s="40">
        <v>4.472662455585534E-4</v>
      </c>
      <c r="I322" s="40">
        <v>1.4725989978189813</v>
      </c>
      <c r="J322" s="59">
        <v>0</v>
      </c>
      <c r="K322" s="59">
        <v>3345.562145113945</v>
      </c>
      <c r="L322" s="59">
        <v>0</v>
      </c>
      <c r="M322" s="11">
        <v>0.84447905421257019</v>
      </c>
      <c r="N322" s="11">
        <v>0.74929773807525635</v>
      </c>
      <c r="O322" s="11">
        <v>0.28768593072891235</v>
      </c>
      <c r="Q322" s="59">
        <v>14.586920178999216</v>
      </c>
      <c r="R322" s="78">
        <v>469.16698673417318</v>
      </c>
      <c r="S322" s="78">
        <v>14.635668921144191</v>
      </c>
      <c r="T322" s="78">
        <v>593.52931220209598</v>
      </c>
      <c r="U322" s="78">
        <v>4.8748742144974599E-2</v>
      </c>
      <c r="V322" s="78">
        <v>124.3623254679228</v>
      </c>
      <c r="Y322" s="28"/>
      <c r="Z322" s="28"/>
      <c r="AK322" s="28"/>
      <c r="AS322" s="28"/>
      <c r="AT322" s="28"/>
    </row>
    <row r="323" spans="3:46" x14ac:dyDescent="0.15">
      <c r="C323" s="11">
        <v>7.0621490478515625E-2</v>
      </c>
      <c r="D323" s="11">
        <v>2.0922139286994934E-2</v>
      </c>
      <c r="E323" s="11">
        <v>0.28438117200168372</v>
      </c>
      <c r="F323" s="11">
        <v>0</v>
      </c>
      <c r="G323" s="11">
        <v>2.0348817110061646E-2</v>
      </c>
      <c r="H323" s="40">
        <v>5.504470638569716E-4</v>
      </c>
      <c r="I323" s="40">
        <v>1.331594333954464</v>
      </c>
      <c r="J323" s="59">
        <v>0</v>
      </c>
      <c r="K323" s="59">
        <v>2507.9399347305298</v>
      </c>
      <c r="L323" s="59">
        <v>0</v>
      </c>
      <c r="M323" s="11">
        <v>0.82006227970123291</v>
      </c>
      <c r="N323" s="11">
        <v>0.7135007381439209</v>
      </c>
      <c r="O323" s="11">
        <v>0.32589507102966309</v>
      </c>
      <c r="Q323" s="59">
        <v>13.416757276266189</v>
      </c>
      <c r="R323" s="78">
        <v>434.4347713610012</v>
      </c>
      <c r="S323" s="78">
        <v>13.449162240835468</v>
      </c>
      <c r="T323" s="78">
        <v>590.62626955209953</v>
      </c>
      <c r="U323" s="78">
        <v>3.2404964569279215E-2</v>
      </c>
      <c r="V323" s="78">
        <v>156.19149819109833</v>
      </c>
      <c r="Y323" s="28"/>
      <c r="Z323" s="28"/>
      <c r="AK323" s="28"/>
      <c r="AS323" s="28"/>
      <c r="AT323" s="28"/>
    </row>
    <row r="324" spans="3:46" x14ac:dyDescent="0.15">
      <c r="C324" s="11">
        <v>2.202354371547699E-2</v>
      </c>
      <c r="D324" s="11">
        <v>2.7414560317993164E-3</v>
      </c>
      <c r="E324" s="11">
        <v>0.43930073656007795</v>
      </c>
      <c r="F324" s="11">
        <v>0</v>
      </c>
      <c r="G324" s="11">
        <v>2.0058184862136841E-2</v>
      </c>
      <c r="H324" s="40">
        <v>3.774668092736647E-4</v>
      </c>
      <c r="I324" s="40">
        <v>1.5813101318513427</v>
      </c>
      <c r="J324" s="59">
        <v>0</v>
      </c>
      <c r="K324" s="59">
        <v>2816.7851269245148</v>
      </c>
      <c r="L324" s="59">
        <v>0</v>
      </c>
      <c r="M324" s="11">
        <v>0.79413366317749023</v>
      </c>
      <c r="N324" s="11">
        <v>0.74806505441665649</v>
      </c>
      <c r="O324" s="11">
        <v>0.29371386766433716</v>
      </c>
      <c r="Q324" s="59">
        <v>13.676690526589507</v>
      </c>
      <c r="R324" s="78">
        <v>461.85612967262733</v>
      </c>
      <c r="S324" s="78">
        <v>13.699710270409712</v>
      </c>
      <c r="T324" s="78">
        <v>609.23218560955524</v>
      </c>
      <c r="U324" s="78">
        <v>2.3019743820205107E-2</v>
      </c>
      <c r="V324" s="78">
        <v>147.37605593692791</v>
      </c>
      <c r="Y324" s="28"/>
      <c r="Z324" s="28"/>
      <c r="AK324" s="28"/>
      <c r="AS324" s="28"/>
      <c r="AT324" s="28"/>
    </row>
    <row r="325" spans="3:46" x14ac:dyDescent="0.15">
      <c r="C325" s="11">
        <v>1.8498003482818604E-2</v>
      </c>
      <c r="D325" s="11">
        <v>3.6039471626281738E-2</v>
      </c>
      <c r="E325" s="11">
        <v>0.1596435037126096</v>
      </c>
      <c r="F325" s="11">
        <v>0</v>
      </c>
      <c r="G325" s="11">
        <v>4.2097181081771851E-2</v>
      </c>
      <c r="H325" s="40">
        <v>5.9984339025358723E-4</v>
      </c>
      <c r="I325" s="40">
        <v>1.4433206331646313</v>
      </c>
      <c r="J325" s="59">
        <v>0</v>
      </c>
      <c r="K325" s="59">
        <v>8326.4894783496857</v>
      </c>
      <c r="L325" s="59">
        <v>0</v>
      </c>
      <c r="M325" s="11">
        <v>0.84767630696296692</v>
      </c>
      <c r="N325" s="11">
        <v>0.74562424421310425</v>
      </c>
      <c r="O325" s="11">
        <v>0.33674955368041992</v>
      </c>
      <c r="Q325" s="59">
        <v>14.614023875333833</v>
      </c>
      <c r="R325" s="78">
        <v>632.29766721654698</v>
      </c>
      <c r="S325" s="78">
        <v>14.682626599801377</v>
      </c>
      <c r="T325" s="78">
        <v>617.82230783896466</v>
      </c>
      <c r="U325" s="78">
        <v>6.8602724467544007E-2</v>
      </c>
      <c r="V325" s="78">
        <v>-14.475359377582322</v>
      </c>
      <c r="Y325" s="28"/>
      <c r="Z325" s="28"/>
      <c r="AK325" s="28"/>
      <c r="AS325" s="28"/>
      <c r="AT325" s="28"/>
    </row>
    <row r="326" spans="3:46" x14ac:dyDescent="0.15">
      <c r="C326" s="11">
        <v>2.0582392811775208E-2</v>
      </c>
      <c r="D326" s="11">
        <v>6.9340914487838745E-3</v>
      </c>
      <c r="E326" s="11">
        <v>0.37668370883631896</v>
      </c>
      <c r="F326" s="11">
        <v>0</v>
      </c>
      <c r="G326" s="11">
        <v>5.6438446044921875E-3</v>
      </c>
      <c r="H326" s="40">
        <v>3.2323755869435611E-4</v>
      </c>
      <c r="I326" s="40">
        <v>1.4946878522879938</v>
      </c>
      <c r="J326" s="59">
        <v>0</v>
      </c>
      <c r="K326" s="59">
        <v>6023.7618163228035</v>
      </c>
      <c r="L326" s="59">
        <v>0</v>
      </c>
      <c r="M326" s="11">
        <v>0.83324533700942993</v>
      </c>
      <c r="N326" s="11">
        <v>0.738739013671875</v>
      </c>
      <c r="O326" s="11">
        <v>0.26602011919021606</v>
      </c>
      <c r="Q326" s="59">
        <v>14.374399223578592</v>
      </c>
      <c r="R326" s="78">
        <v>482.71616593389564</v>
      </c>
      <c r="S326" s="78">
        <v>14.399626212764666</v>
      </c>
      <c r="T326" s="78">
        <v>612.75891058655964</v>
      </c>
      <c r="U326" s="78">
        <v>2.5226989186073467E-2</v>
      </c>
      <c r="V326" s="78">
        <v>130.042744652664</v>
      </c>
      <c r="Y326" s="28"/>
      <c r="Z326" s="28"/>
      <c r="AK326" s="28"/>
      <c r="AS326" s="28"/>
      <c r="AT326" s="28"/>
    </row>
    <row r="327" spans="3:46" x14ac:dyDescent="0.15">
      <c r="C327" s="11">
        <v>1.2327343225479126E-2</v>
      </c>
      <c r="D327" s="11">
        <v>2.4156749248504639E-2</v>
      </c>
      <c r="E327" s="11">
        <v>0.35165140382936499</v>
      </c>
      <c r="F327" s="11">
        <v>0</v>
      </c>
      <c r="G327" s="11">
        <v>4.9878120422363281E-2</v>
      </c>
      <c r="H327" s="40">
        <v>5.8816548629967379E-4</v>
      </c>
      <c r="I327" s="40">
        <v>1.3880909072989585</v>
      </c>
      <c r="J327" s="59">
        <v>0</v>
      </c>
      <c r="K327" s="59">
        <v>6030.0971381366253</v>
      </c>
      <c r="L327" s="59">
        <v>0</v>
      </c>
      <c r="M327" s="11">
        <v>0.87561571598052979</v>
      </c>
      <c r="N327" s="11">
        <v>0.73160529136657715</v>
      </c>
      <c r="O327" s="11">
        <v>0.3128349781036377</v>
      </c>
      <c r="Q327" s="59">
        <v>15.193840135917553</v>
      </c>
      <c r="R327" s="78">
        <v>545.67097825903329</v>
      </c>
      <c r="S327" s="78">
        <v>15.246590791789982</v>
      </c>
      <c r="T327" s="78">
        <v>633.01008078050938</v>
      </c>
      <c r="U327" s="78">
        <v>5.2750655872429775E-2</v>
      </c>
      <c r="V327" s="78">
        <v>87.339102521476093</v>
      </c>
      <c r="Y327" s="28"/>
      <c r="Z327" s="28"/>
      <c r="AK327" s="28"/>
      <c r="AS327" s="28"/>
      <c r="AT327" s="28"/>
    </row>
    <row r="328" spans="3:46" x14ac:dyDescent="0.15">
      <c r="C328" s="11">
        <v>1.4652460813522339E-2</v>
      </c>
      <c r="D328" s="11">
        <v>1.4238923788070679E-2</v>
      </c>
      <c r="E328" s="11">
        <v>0.28025930593177084</v>
      </c>
      <c r="F328" s="11">
        <v>0</v>
      </c>
      <c r="G328" s="11">
        <v>3.9197087287902832E-2</v>
      </c>
      <c r="H328" s="40">
        <v>4.3363248368987741E-4</v>
      </c>
      <c r="I328" s="40">
        <v>1.3963868324878068</v>
      </c>
      <c r="J328" s="59">
        <v>0</v>
      </c>
      <c r="K328" s="59">
        <v>4388.0008161067963</v>
      </c>
      <c r="L328" s="59">
        <v>0</v>
      </c>
      <c r="M328" s="11">
        <v>0.84959805011749268</v>
      </c>
      <c r="N328" s="11">
        <v>0.76840966939926147</v>
      </c>
      <c r="O328" s="11">
        <v>0.27348965406417847</v>
      </c>
      <c r="Q328" s="59">
        <v>14.743219081113878</v>
      </c>
      <c r="R328" s="78">
        <v>473.48901120589039</v>
      </c>
      <c r="S328" s="78">
        <v>14.774612005342144</v>
      </c>
      <c r="T328" s="78">
        <v>601.51767155940206</v>
      </c>
      <c r="U328" s="78">
        <v>3.1392924228265784E-2</v>
      </c>
      <c r="V328" s="78">
        <v>128.02866035351167</v>
      </c>
      <c r="Y328" s="28"/>
      <c r="Z328" s="28"/>
      <c r="AK328" s="28"/>
      <c r="AS328" s="28"/>
      <c r="AT328" s="28"/>
    </row>
    <row r="329" spans="3:46" x14ac:dyDescent="0.15">
      <c r="C329" s="11">
        <v>2.8825998306274414E-3</v>
      </c>
      <c r="D329" s="11">
        <v>6.1527043581008911E-3</v>
      </c>
      <c r="E329" s="11">
        <v>0.6190343952809082</v>
      </c>
      <c r="F329" s="11">
        <v>0</v>
      </c>
      <c r="G329" s="11">
        <v>7.6965093612670898E-2</v>
      </c>
      <c r="H329" s="40">
        <v>4.5515224097864861E-4</v>
      </c>
      <c r="I329" s="40">
        <v>1.421587542359585</v>
      </c>
      <c r="J329" s="59">
        <v>0</v>
      </c>
      <c r="K329" s="59">
        <v>4930.0352111458778</v>
      </c>
      <c r="L329" s="59">
        <v>0</v>
      </c>
      <c r="M329" s="11">
        <v>0.88982003927230835</v>
      </c>
      <c r="N329" s="11">
        <v>0.6933591365814209</v>
      </c>
      <c r="O329" s="11">
        <v>0.2932758629322052</v>
      </c>
      <c r="Q329" s="59">
        <v>15.587455379834282</v>
      </c>
      <c r="R329" s="78">
        <v>515.54168475294478</v>
      </c>
      <c r="S329" s="78">
        <v>15.619317880383612</v>
      </c>
      <c r="T329" s="78">
        <v>654.71284255042906</v>
      </c>
      <c r="U329" s="78">
        <v>3.1862500549330264E-2</v>
      </c>
      <c r="V329" s="78">
        <v>139.17115779748428</v>
      </c>
      <c r="Y329" s="28"/>
      <c r="Z329" s="28"/>
      <c r="AK329" s="28"/>
      <c r="AS329" s="28"/>
      <c r="AT329" s="28"/>
    </row>
    <row r="330" spans="3:46" x14ac:dyDescent="0.15">
      <c r="C330" s="11">
        <v>3.9831757545471191E-2</v>
      </c>
      <c r="D330" s="11">
        <v>4.6478509902954102E-2</v>
      </c>
      <c r="E330" s="11">
        <v>0.24183166764596989</v>
      </c>
      <c r="F330" s="11">
        <v>0</v>
      </c>
      <c r="G330" s="11">
        <v>1.986125111579895E-2</v>
      </c>
      <c r="H330" s="40">
        <v>3.4348632702674715E-4</v>
      </c>
      <c r="I330" s="40">
        <v>1.56340514672736</v>
      </c>
      <c r="J330" s="59">
        <v>0</v>
      </c>
      <c r="K330" s="59">
        <v>7508.1828981637955</v>
      </c>
      <c r="L330" s="59">
        <v>0</v>
      </c>
      <c r="M330" s="11">
        <v>0.81097078323364258</v>
      </c>
      <c r="N330" s="11">
        <v>0.72656899690628052</v>
      </c>
      <c r="O330" s="11">
        <v>0.29163581132888794</v>
      </c>
      <c r="Q330" s="59">
        <v>13.69419950393776</v>
      </c>
      <c r="R330" s="78">
        <v>546.69721431761809</v>
      </c>
      <c r="S330" s="78">
        <v>13.739316318346097</v>
      </c>
      <c r="T330" s="78">
        <v>616.53654912752108</v>
      </c>
      <c r="U330" s="78">
        <v>4.5116814408336481E-2</v>
      </c>
      <c r="V330" s="78">
        <v>69.839334809902994</v>
      </c>
      <c r="Y330" s="28"/>
      <c r="Z330" s="28"/>
      <c r="AK330" s="28"/>
      <c r="AS330" s="28"/>
      <c r="AT330" s="28"/>
    </row>
    <row r="331" spans="3:46" x14ac:dyDescent="0.15">
      <c r="C331" s="11">
        <v>2.8383851051330566E-2</v>
      </c>
      <c r="D331" s="11">
        <v>2.3737847805023193E-3</v>
      </c>
      <c r="E331" s="11">
        <v>0.32750033354717334</v>
      </c>
      <c r="F331" s="11">
        <v>0</v>
      </c>
      <c r="G331" s="11">
        <v>2.9380440711975098E-2</v>
      </c>
      <c r="H331" s="40">
        <v>5.1612564159281716E-4</v>
      </c>
      <c r="I331" s="40">
        <v>1.4153793033998783</v>
      </c>
      <c r="J331" s="59">
        <v>0</v>
      </c>
      <c r="K331" s="59">
        <v>5908.8808484375477</v>
      </c>
      <c r="L331" s="59">
        <v>0</v>
      </c>
      <c r="M331" s="11">
        <v>0.85045269131660461</v>
      </c>
      <c r="N331" s="11">
        <v>0.73052060604095459</v>
      </c>
      <c r="O331" s="11">
        <v>0.30677413940429688</v>
      </c>
      <c r="Q331" s="59">
        <v>14.536138110535836</v>
      </c>
      <c r="R331" s="78">
        <v>519.81288679612157</v>
      </c>
      <c r="S331" s="78">
        <v>14.575873293177716</v>
      </c>
      <c r="T331" s="78">
        <v>620.73573428232726</v>
      </c>
      <c r="U331" s="78">
        <v>3.9735182641880584E-2</v>
      </c>
      <c r="V331" s="78">
        <v>100.92284748620568</v>
      </c>
      <c r="Y331" s="28"/>
      <c r="Z331" s="28"/>
      <c r="AK331" s="28"/>
      <c r="AS331" s="28"/>
      <c r="AT331" s="28"/>
    </row>
    <row r="332" spans="3:46" x14ac:dyDescent="0.15">
      <c r="C332" s="11">
        <v>6.2785446643829346E-3</v>
      </c>
      <c r="D332" s="11">
        <v>2.0049035549163818E-2</v>
      </c>
      <c r="E332" s="11">
        <v>0.31458496191237018</v>
      </c>
      <c r="F332" s="11">
        <v>0</v>
      </c>
      <c r="G332" s="11">
        <v>2.9221683740615845E-2</v>
      </c>
      <c r="H332" s="40">
        <v>5.5447235834196111E-4</v>
      </c>
      <c r="I332" s="40">
        <v>1.431298054824611</v>
      </c>
      <c r="J332" s="59">
        <v>0</v>
      </c>
      <c r="K332" s="59">
        <v>5830.5542916059494</v>
      </c>
      <c r="L332" s="59">
        <v>0</v>
      </c>
      <c r="M332" s="11">
        <v>0.877541184425354</v>
      </c>
      <c r="N332" s="11">
        <v>0.80155861377716064</v>
      </c>
      <c r="O332" s="11">
        <v>0.31857502460479736</v>
      </c>
      <c r="Q332" s="59">
        <v>15.343045667706544</v>
      </c>
      <c r="R332" s="78">
        <v>535.92621405661055</v>
      </c>
      <c r="S332" s="78">
        <v>15.383942757291337</v>
      </c>
      <c r="T332" s="78">
        <v>624.31542739750728</v>
      </c>
      <c r="U332" s="78">
        <v>4.0897089584792212E-2</v>
      </c>
      <c r="V332" s="78">
        <v>88.389213340896731</v>
      </c>
      <c r="Y332" s="28"/>
      <c r="Z332" s="28"/>
      <c r="AK332" s="28"/>
      <c r="AS332" s="28"/>
      <c r="AT332" s="28"/>
    </row>
    <row r="333" spans="3:46" x14ac:dyDescent="0.15">
      <c r="C333" s="11">
        <v>1.9805669784545898E-2</v>
      </c>
      <c r="D333" s="11">
        <v>3.8272440433502197E-2</v>
      </c>
      <c r="E333" s="11">
        <v>0.23810367293756812</v>
      </c>
      <c r="F333" s="11">
        <v>0</v>
      </c>
      <c r="G333" s="11">
        <v>1.9925624132156372E-2</v>
      </c>
      <c r="H333" s="40">
        <v>3.5917685193357897E-4</v>
      </c>
      <c r="I333" s="40">
        <v>1.5735645423178495</v>
      </c>
      <c r="J333" s="59">
        <v>0</v>
      </c>
      <c r="K333" s="59">
        <v>2818.8060969114304</v>
      </c>
      <c r="L333" s="59">
        <v>0</v>
      </c>
      <c r="M333" s="11">
        <v>0.84429067373275757</v>
      </c>
      <c r="N333" s="11">
        <v>0.76903098821640015</v>
      </c>
      <c r="O333" s="11">
        <v>0.30284813046455383</v>
      </c>
      <c r="Q333" s="59">
        <v>14.555947824903109</v>
      </c>
      <c r="R333" s="78">
        <v>457.04786764353651</v>
      </c>
      <c r="S333" s="78">
        <v>14.602786116454643</v>
      </c>
      <c r="T333" s="78">
        <v>594.28165015763</v>
      </c>
      <c r="U333" s="78">
        <v>4.6838291551534184E-2</v>
      </c>
      <c r="V333" s="78">
        <v>137.23378251409349</v>
      </c>
      <c r="Y333" s="28"/>
      <c r="Z333" s="28"/>
      <c r="AK333" s="28"/>
      <c r="AS333" s="28"/>
      <c r="AT333" s="28"/>
    </row>
    <row r="334" spans="3:46" x14ac:dyDescent="0.15">
      <c r="C334" s="11">
        <v>2.7654826641082764E-2</v>
      </c>
      <c r="D334" s="11">
        <v>3.3865571022033691E-2</v>
      </c>
      <c r="E334" s="11">
        <v>0.22943663354117344</v>
      </c>
      <c r="F334" s="11">
        <v>0</v>
      </c>
      <c r="G334" s="11">
        <v>1.7817854881286621E-2</v>
      </c>
      <c r="H334" s="40">
        <v>3.555588524397663E-4</v>
      </c>
      <c r="I334" s="40">
        <v>1.4913380396690945</v>
      </c>
      <c r="J334" s="59">
        <v>0</v>
      </c>
      <c r="K334" s="59">
        <v>5013.5189667344093</v>
      </c>
      <c r="L334" s="59">
        <v>0</v>
      </c>
      <c r="M334" s="11">
        <v>0.80229198932647705</v>
      </c>
      <c r="N334" s="11">
        <v>0.77845203876495361</v>
      </c>
      <c r="O334" s="11">
        <v>0.37783432006835938</v>
      </c>
      <c r="Q334" s="59">
        <v>13.750683995826941</v>
      </c>
      <c r="R334" s="78">
        <v>479.85372800633019</v>
      </c>
      <c r="S334" s="78">
        <v>13.772736538932715</v>
      </c>
      <c r="T334" s="78">
        <v>598.96430013565862</v>
      </c>
      <c r="U334" s="78">
        <v>2.2052543105774092E-2</v>
      </c>
      <c r="V334" s="78">
        <v>119.11057212932843</v>
      </c>
      <c r="Y334" s="28"/>
      <c r="Z334" s="28"/>
      <c r="AK334" s="28"/>
      <c r="AS334" s="28"/>
      <c r="AT334" s="28"/>
    </row>
    <row r="335" spans="3:46" x14ac:dyDescent="0.15">
      <c r="C335" s="11">
        <v>3.7397295236587524E-3</v>
      </c>
      <c r="D335" s="11">
        <v>4.8675179481506348E-2</v>
      </c>
      <c r="E335" s="11">
        <v>0.15250578359660263</v>
      </c>
      <c r="F335" s="11">
        <v>0</v>
      </c>
      <c r="G335" s="11">
        <v>6.5875053405761719E-2</v>
      </c>
      <c r="H335" s="40">
        <v>4.3122695100141254E-4</v>
      </c>
      <c r="I335" s="40">
        <v>1.5828832189248512</v>
      </c>
      <c r="J335" s="59">
        <v>0</v>
      </c>
      <c r="K335" s="59">
        <v>6530.0334244966507</v>
      </c>
      <c r="L335" s="59">
        <v>0</v>
      </c>
      <c r="M335" s="11">
        <v>0.85789710283279419</v>
      </c>
      <c r="N335" s="11">
        <v>0.7564200758934021</v>
      </c>
      <c r="O335" s="11">
        <v>0.26935529708862305</v>
      </c>
      <c r="Q335" s="59">
        <v>14.989222420421617</v>
      </c>
      <c r="R335" s="78">
        <v>620.29508581837581</v>
      </c>
      <c r="S335" s="78">
        <v>15.079986633700603</v>
      </c>
      <c r="T335" s="78">
        <v>614.33224962626582</v>
      </c>
      <c r="U335" s="78">
        <v>9.076421327898565E-2</v>
      </c>
      <c r="V335" s="78">
        <v>-5.9628361921099895</v>
      </c>
      <c r="Y335" s="28"/>
      <c r="Z335" s="28"/>
      <c r="AK335" s="28"/>
      <c r="AS335" s="28"/>
      <c r="AT335" s="28"/>
    </row>
    <row r="336" spans="3:46" x14ac:dyDescent="0.15">
      <c r="C336" s="11">
        <v>4.6765357255935669E-3</v>
      </c>
      <c r="D336" s="11">
        <v>2.4771794676780701E-2</v>
      </c>
      <c r="E336" s="11">
        <v>0.21849380100347424</v>
      </c>
      <c r="F336" s="11">
        <v>0</v>
      </c>
      <c r="G336" s="11">
        <v>4.5917987823486328E-2</v>
      </c>
      <c r="H336" s="40">
        <v>3.1698895603002688E-4</v>
      </c>
      <c r="I336" s="40">
        <v>1.6578894030729174</v>
      </c>
      <c r="J336" s="59">
        <v>0</v>
      </c>
      <c r="K336" s="59">
        <v>4416.685551404953</v>
      </c>
      <c r="L336" s="59">
        <v>0</v>
      </c>
      <c r="M336" s="11">
        <v>0.89290356636047363</v>
      </c>
      <c r="N336" s="11">
        <v>0.76348429918289185</v>
      </c>
      <c r="O336" s="11">
        <v>0.28701484203338623</v>
      </c>
      <c r="Q336" s="59">
        <v>15.601283586659225</v>
      </c>
      <c r="R336" s="78">
        <v>523.74932308232087</v>
      </c>
      <c r="S336" s="78">
        <v>15.676426772269554</v>
      </c>
      <c r="T336" s="78">
        <v>607.95301768742138</v>
      </c>
      <c r="U336" s="78">
        <v>7.514318561032951E-2</v>
      </c>
      <c r="V336" s="78">
        <v>84.203694605100509</v>
      </c>
      <c r="Y336" s="28"/>
      <c r="Z336" s="28"/>
      <c r="AK336" s="28"/>
      <c r="AS336" s="28"/>
      <c r="AT336" s="28"/>
    </row>
    <row r="337" spans="3:46" x14ac:dyDescent="0.15">
      <c r="C337" s="11">
        <v>9.0341269969940186E-3</v>
      </c>
      <c r="D337" s="11">
        <v>3.2271444797515869E-2</v>
      </c>
      <c r="E337" s="11">
        <v>0.22854167738308551</v>
      </c>
      <c r="F337" s="11">
        <v>0</v>
      </c>
      <c r="G337" s="11">
        <v>8.5521936416625977E-3</v>
      </c>
      <c r="H337" s="40">
        <v>3.9627928315493248E-4</v>
      </c>
      <c r="I337" s="40">
        <v>1.3299259992729293</v>
      </c>
      <c r="J337" s="59">
        <v>0</v>
      </c>
      <c r="K337" s="59">
        <v>3949.4829252362251</v>
      </c>
      <c r="L337" s="59">
        <v>0</v>
      </c>
      <c r="M337" s="11">
        <v>0.8419492244720459</v>
      </c>
      <c r="N337" s="11">
        <v>0.75990068912506104</v>
      </c>
      <c r="O337" s="11">
        <v>0.31649261713027954</v>
      </c>
      <c r="Q337" s="59">
        <v>14.70559895392296</v>
      </c>
      <c r="R337" s="78">
        <v>439.32971500576315</v>
      </c>
      <c r="S337" s="78">
        <v>14.730123687570424</v>
      </c>
      <c r="T337" s="78">
        <v>589.44975822154493</v>
      </c>
      <c r="U337" s="78">
        <v>2.4524733647464103E-2</v>
      </c>
      <c r="V337" s="78">
        <v>150.12004321578178</v>
      </c>
      <c r="Y337" s="28"/>
      <c r="Z337" s="28"/>
      <c r="AK337" s="28"/>
      <c r="AS337" s="28"/>
      <c r="AT337" s="28"/>
    </row>
    <row r="338" spans="3:46" x14ac:dyDescent="0.15">
      <c r="C338" s="11">
        <v>1.538887619972229E-2</v>
      </c>
      <c r="D338" s="11">
        <v>1.0168209671974182E-2</v>
      </c>
      <c r="E338" s="11">
        <v>0.21743126942364149</v>
      </c>
      <c r="F338" s="11">
        <v>0</v>
      </c>
      <c r="G338" s="11">
        <v>1.9478440284729004E-2</v>
      </c>
      <c r="H338" s="40">
        <v>5.200126447560936E-4</v>
      </c>
      <c r="I338" s="40">
        <v>1.4492926115862108</v>
      </c>
      <c r="J338" s="59">
        <v>0</v>
      </c>
      <c r="K338" s="59">
        <v>5763.2126845419407</v>
      </c>
      <c r="L338" s="59">
        <v>0</v>
      </c>
      <c r="M338" s="11">
        <v>0.8815341591835022</v>
      </c>
      <c r="N338" s="11">
        <v>0.80084872245788574</v>
      </c>
      <c r="O338" s="11">
        <v>0.36088085174560547</v>
      </c>
      <c r="Q338" s="59">
        <v>15.277594240785129</v>
      </c>
      <c r="R338" s="78">
        <v>524.19188218946522</v>
      </c>
      <c r="S338" s="78">
        <v>15.319486463408616</v>
      </c>
      <c r="T338" s="78">
        <v>607.79675773643226</v>
      </c>
      <c r="U338" s="78">
        <v>4.1892222623486575E-2</v>
      </c>
      <c r="V338" s="78">
        <v>83.604875546967037</v>
      </c>
      <c r="Y338" s="28"/>
      <c r="Z338" s="28"/>
      <c r="AK338" s="28"/>
      <c r="AS338" s="28"/>
      <c r="AT338" s="28"/>
    </row>
    <row r="339" spans="3:46" x14ac:dyDescent="0.15">
      <c r="C339" s="11">
        <v>1.6311123967170715E-2</v>
      </c>
      <c r="D339" s="11">
        <v>2.1838724613189697E-2</v>
      </c>
      <c r="E339" s="11">
        <v>0.3549885152895329</v>
      </c>
      <c r="F339" s="11">
        <v>0</v>
      </c>
      <c r="G339" s="11">
        <v>3.8069307804107666E-2</v>
      </c>
      <c r="H339" s="40">
        <v>4.2700922328513566E-4</v>
      </c>
      <c r="I339" s="40">
        <v>1.4375576611348602</v>
      </c>
      <c r="J339" s="59">
        <v>0</v>
      </c>
      <c r="K339" s="59">
        <v>5334.948655217886</v>
      </c>
      <c r="L339" s="59">
        <v>0</v>
      </c>
      <c r="M339" s="11">
        <v>0.85279792547225952</v>
      </c>
      <c r="N339" s="11">
        <v>0.80597412586212158</v>
      </c>
      <c r="O339" s="11">
        <v>0.31006646156311035</v>
      </c>
      <c r="Q339" s="59">
        <v>14.777387229970264</v>
      </c>
      <c r="R339" s="78">
        <v>500.13773942192427</v>
      </c>
      <c r="S339" s="78">
        <v>14.803239896251565</v>
      </c>
      <c r="T339" s="78">
        <v>617.09143564647195</v>
      </c>
      <c r="U339" s="78">
        <v>2.5852666281300785E-2</v>
      </c>
      <c r="V339" s="78">
        <v>116.95369622454768</v>
      </c>
      <c r="Y339" s="28"/>
      <c r="Z339" s="28"/>
      <c r="AK339" s="28"/>
      <c r="AS339" s="28"/>
      <c r="AT339" s="28"/>
    </row>
    <row r="340" spans="3:46" x14ac:dyDescent="0.15">
      <c r="C340" s="11">
        <v>2.1873369812965393E-2</v>
      </c>
      <c r="D340" s="11">
        <v>1.5433922410011292E-2</v>
      </c>
      <c r="E340" s="11">
        <v>0.22736439960684499</v>
      </c>
      <c r="F340" s="11">
        <v>0</v>
      </c>
      <c r="G340" s="11">
        <v>5.0140142440795898E-2</v>
      </c>
      <c r="H340" s="40">
        <v>4.5579532930885346E-4</v>
      </c>
      <c r="I340" s="40">
        <v>1.443127555174502</v>
      </c>
      <c r="J340" s="59">
        <v>0</v>
      </c>
      <c r="K340" s="59">
        <v>6264.6856531500816</v>
      </c>
      <c r="L340" s="59">
        <v>0</v>
      </c>
      <c r="M340" s="11">
        <v>0.86848995089530945</v>
      </c>
      <c r="N340" s="11">
        <v>0.78930854797363281</v>
      </c>
      <c r="O340" s="11">
        <v>0.34771013259887695</v>
      </c>
      <c r="Q340" s="59">
        <v>14.95346447979402</v>
      </c>
      <c r="R340" s="78">
        <v>536.79671029666792</v>
      </c>
      <c r="S340" s="78">
        <v>14.993154209225679</v>
      </c>
      <c r="T340" s="78">
        <v>611.92728187685657</v>
      </c>
      <c r="U340" s="78">
        <v>3.968972943165916E-2</v>
      </c>
      <c r="V340" s="78">
        <v>75.130571580188644</v>
      </c>
      <c r="Y340" s="28"/>
      <c r="Z340" s="28"/>
      <c r="AK340" s="28"/>
      <c r="AS340" s="28"/>
      <c r="AT340" s="28"/>
    </row>
    <row r="341" spans="3:46" x14ac:dyDescent="0.15">
      <c r="C341" s="11">
        <v>1.0082602500915527E-2</v>
      </c>
      <c r="D341" s="11">
        <v>5.2494525909423828E-2</v>
      </c>
      <c r="E341" s="11">
        <v>0.19364226670487997</v>
      </c>
      <c r="F341" s="11">
        <v>0</v>
      </c>
      <c r="G341" s="11">
        <v>5.6716859340667725E-2</v>
      </c>
      <c r="H341" s="40">
        <v>3.8227094467361389E-4</v>
      </c>
      <c r="I341" s="40">
        <v>1.5104041026340698</v>
      </c>
      <c r="J341" s="59">
        <v>0</v>
      </c>
      <c r="K341" s="59">
        <v>7784.7298234701157</v>
      </c>
      <c r="L341" s="59">
        <v>0</v>
      </c>
      <c r="M341" s="11">
        <v>0.85778951644897461</v>
      </c>
      <c r="N341" s="11">
        <v>0.74151420593261719</v>
      </c>
      <c r="O341" s="11">
        <v>0.3130943775177002</v>
      </c>
      <c r="Q341" s="59">
        <v>14.920582852051696</v>
      </c>
      <c r="R341" s="78">
        <v>580.2704216731122</v>
      </c>
      <c r="S341" s="78">
        <v>14.983431436333673</v>
      </c>
      <c r="T341" s="78">
        <v>615.63500980397885</v>
      </c>
      <c r="U341" s="78">
        <v>6.2848584281976372E-2</v>
      </c>
      <c r="V341" s="78">
        <v>35.36458813086665</v>
      </c>
      <c r="Y341" s="28"/>
      <c r="Z341" s="28"/>
      <c r="AK341" s="28"/>
      <c r="AS341" s="28"/>
      <c r="AT341" s="28"/>
    </row>
    <row r="342" spans="3:46" x14ac:dyDescent="0.15">
      <c r="C342" s="11">
        <v>1.144583523273468E-2</v>
      </c>
      <c r="D342" s="11">
        <v>4.1555881500244141E-2</v>
      </c>
      <c r="E342" s="11">
        <v>0.31308150432079201</v>
      </c>
      <c r="F342" s="11">
        <v>0</v>
      </c>
      <c r="G342" s="11">
        <v>6.9959878921508789E-2</v>
      </c>
      <c r="H342" s="40">
        <v>7.0517543403131745E-4</v>
      </c>
      <c r="I342" s="40">
        <v>1.3985971798328409</v>
      </c>
      <c r="J342" s="59">
        <v>0</v>
      </c>
      <c r="K342" s="59">
        <v>5061.5565851330757</v>
      </c>
      <c r="L342" s="59">
        <v>0</v>
      </c>
      <c r="M342" s="11">
        <v>0.84613281488418579</v>
      </c>
      <c r="N342" s="11">
        <v>0.72925031185150146</v>
      </c>
      <c r="O342" s="11">
        <v>0.31830191612243652</v>
      </c>
      <c r="Q342" s="59">
        <v>14.675083243030965</v>
      </c>
      <c r="R342" s="78">
        <v>564.09694230737114</v>
      </c>
      <c r="S342" s="78">
        <v>14.742898136122454</v>
      </c>
      <c r="T342" s="78">
        <v>633.12936975992477</v>
      </c>
      <c r="U342" s="78">
        <v>6.7814893091489026E-2</v>
      </c>
      <c r="V342" s="78">
        <v>69.032427452553634</v>
      </c>
      <c r="Y342" s="28"/>
      <c r="Z342" s="28"/>
      <c r="AK342" s="28"/>
      <c r="AS342" s="28"/>
      <c r="AT342" s="28"/>
    </row>
    <row r="343" spans="3:46" x14ac:dyDescent="0.15">
      <c r="C343" s="11">
        <v>4.0310978889465332E-2</v>
      </c>
      <c r="D343" s="11">
        <v>4.1978657245635986E-3</v>
      </c>
      <c r="E343" s="11">
        <v>0.52724640657771105</v>
      </c>
      <c r="F343" s="11">
        <v>0</v>
      </c>
      <c r="G343" s="11">
        <v>4.0900677442550659E-2</v>
      </c>
      <c r="H343" s="40">
        <v>5.9933539569662769E-4</v>
      </c>
      <c r="I343" s="40">
        <v>1.3641147825279718</v>
      </c>
      <c r="J343" s="59">
        <v>0</v>
      </c>
      <c r="K343" s="59">
        <v>4941.3391388952732</v>
      </c>
      <c r="L343" s="59">
        <v>0</v>
      </c>
      <c r="M343" s="11">
        <v>0.84824693202972412</v>
      </c>
      <c r="N343" s="11">
        <v>0.76347929239273071</v>
      </c>
      <c r="O343" s="11">
        <v>0.24730312824249268</v>
      </c>
      <c r="Q343" s="59">
        <v>14.326530412947202</v>
      </c>
      <c r="R343" s="78">
        <v>504.53356412541899</v>
      </c>
      <c r="S343" s="78">
        <v>14.351094870281738</v>
      </c>
      <c r="T343" s="78">
        <v>637.7845088096276</v>
      </c>
      <c r="U343" s="78">
        <v>2.4564457334536272E-2</v>
      </c>
      <c r="V343" s="78">
        <v>133.2509446842086</v>
      </c>
      <c r="Y343" s="28"/>
      <c r="Z343" s="28"/>
      <c r="AK343" s="28"/>
      <c r="AS343" s="28"/>
      <c r="AT343" s="28"/>
    </row>
    <row r="344" spans="3:46" x14ac:dyDescent="0.15">
      <c r="C344" s="11">
        <v>2.8718233108520508E-2</v>
      </c>
      <c r="D344" s="11">
        <v>2.614825963973999E-2</v>
      </c>
      <c r="E344" s="11">
        <v>0.47162965652463235</v>
      </c>
      <c r="F344" s="11">
        <v>0</v>
      </c>
      <c r="G344" s="11">
        <v>5.1667571067810059E-2</v>
      </c>
      <c r="H344" s="40">
        <v>3.3135346988685414E-4</v>
      </c>
      <c r="I344" s="40">
        <v>1.4941928647408211</v>
      </c>
      <c r="J344" s="59">
        <v>0</v>
      </c>
      <c r="K344" s="59">
        <v>2792.7756309509277</v>
      </c>
      <c r="L344" s="59">
        <v>0</v>
      </c>
      <c r="M344" s="11">
        <v>0.84770101308822632</v>
      </c>
      <c r="N344" s="11">
        <v>0.72502702474594116</v>
      </c>
      <c r="O344" s="11">
        <v>0.2902367115020752</v>
      </c>
      <c r="Q344" s="59">
        <v>14.485308013899445</v>
      </c>
      <c r="R344" s="78">
        <v>447.67804760016281</v>
      </c>
      <c r="S344" s="78">
        <v>14.515746522537263</v>
      </c>
      <c r="T344" s="78">
        <v>604.52871736499287</v>
      </c>
      <c r="U344" s="78">
        <v>3.0438508637818273E-2</v>
      </c>
      <c r="V344" s="78">
        <v>156.85066976483006</v>
      </c>
      <c r="Y344" s="28"/>
      <c r="Z344" s="28"/>
      <c r="AK344" s="28"/>
      <c r="AS344" s="28"/>
      <c r="AT344" s="28"/>
    </row>
    <row r="345" spans="3:46" x14ac:dyDescent="0.15">
      <c r="C345" s="11">
        <v>5.2268266677856445E-2</v>
      </c>
      <c r="D345" s="11">
        <v>2.6867806911468506E-2</v>
      </c>
      <c r="E345" s="11">
        <v>0.18045224190321041</v>
      </c>
      <c r="F345" s="11">
        <v>0</v>
      </c>
      <c r="G345" s="11">
        <v>1.8742173910140991E-2</v>
      </c>
      <c r="H345" s="40">
        <v>3.728784448606051E-4</v>
      </c>
      <c r="I345" s="40">
        <v>1.5129238730020174</v>
      </c>
      <c r="J345" s="59">
        <v>0</v>
      </c>
      <c r="K345" s="59">
        <v>3765.6771019101143</v>
      </c>
      <c r="L345" s="59">
        <v>0</v>
      </c>
      <c r="M345" s="11">
        <v>0.84002304077148438</v>
      </c>
      <c r="N345" s="11">
        <v>0.74160844087600708</v>
      </c>
      <c r="O345" s="11">
        <v>0.26861375570297241</v>
      </c>
      <c r="Q345" s="59">
        <v>14.006116951029153</v>
      </c>
      <c r="R345" s="78">
        <v>464.54305143872915</v>
      </c>
      <c r="S345" s="78">
        <v>14.051943676301837</v>
      </c>
      <c r="T345" s="78">
        <v>591.9365681509546</v>
      </c>
      <c r="U345" s="78">
        <v>4.5826725272684499E-2</v>
      </c>
      <c r="V345" s="78">
        <v>127.39351671222545</v>
      </c>
      <c r="Y345" s="28"/>
      <c r="Z345" s="28"/>
      <c r="AK345" s="28"/>
      <c r="AS345" s="28"/>
      <c r="AT345" s="28"/>
    </row>
    <row r="346" spans="3:46" x14ac:dyDescent="0.15">
      <c r="C346" s="11">
        <v>1.049572229385376E-2</v>
      </c>
      <c r="D346" s="11">
        <v>2.8928875923156738E-2</v>
      </c>
      <c r="E346" s="11">
        <v>0.25618489244070847</v>
      </c>
      <c r="F346" s="11">
        <v>0</v>
      </c>
      <c r="G346" s="11">
        <v>2.5222301483154297E-2</v>
      </c>
      <c r="H346" s="40">
        <v>4.4530024687250495E-4</v>
      </c>
      <c r="I346" s="40">
        <v>1.432636355206852</v>
      </c>
      <c r="J346" s="59">
        <v>0</v>
      </c>
      <c r="K346" s="59">
        <v>3316.2860199809074</v>
      </c>
      <c r="L346" s="59">
        <v>0</v>
      </c>
      <c r="M346" s="11">
        <v>0.84113788604736328</v>
      </c>
      <c r="N346" s="11">
        <v>0.82729339599609375</v>
      </c>
      <c r="O346" s="11">
        <v>0.27273416519165039</v>
      </c>
      <c r="Q346" s="59">
        <v>14.668142599665233</v>
      </c>
      <c r="R346" s="78">
        <v>457.54094591434034</v>
      </c>
      <c r="S346" s="78">
        <v>14.692863195348648</v>
      </c>
      <c r="T346" s="78">
        <v>595.49278390517713</v>
      </c>
      <c r="U346" s="78">
        <v>2.472059568341578E-2</v>
      </c>
      <c r="V346" s="78">
        <v>137.95183799083679</v>
      </c>
      <c r="Y346" s="28"/>
      <c r="Z346" s="28"/>
      <c r="AK346" s="28"/>
      <c r="AS346" s="28"/>
      <c r="AT346" s="28"/>
    </row>
    <row r="347" spans="3:46" x14ac:dyDescent="0.15">
      <c r="C347" s="11">
        <v>6.018221378326416E-3</v>
      </c>
      <c r="D347" s="11">
        <v>2.8996825218200684E-2</v>
      </c>
      <c r="E347" s="11">
        <v>0.38765273176369441</v>
      </c>
      <c r="F347" s="11">
        <v>0</v>
      </c>
      <c r="G347" s="11">
        <v>3.1904906034469604E-2</v>
      </c>
      <c r="H347" s="40">
        <v>5.2427045817179355E-4</v>
      </c>
      <c r="I347" s="40">
        <v>1.4230805753576776</v>
      </c>
      <c r="J347" s="59">
        <v>0</v>
      </c>
      <c r="K347" s="59">
        <v>6005.8850795030594</v>
      </c>
      <c r="L347" s="59">
        <v>0</v>
      </c>
      <c r="M347" s="11">
        <v>0.83993098139762878</v>
      </c>
      <c r="N347" s="11">
        <v>0.77785426378250122</v>
      </c>
      <c r="O347" s="11">
        <v>0.33809483051300049</v>
      </c>
      <c r="Q347" s="59">
        <v>14.695147117233573</v>
      </c>
      <c r="R347" s="78">
        <v>530.92753676574193</v>
      </c>
      <c r="S347" s="78">
        <v>14.726550724968742</v>
      </c>
      <c r="T347" s="78">
        <v>632.72955420746985</v>
      </c>
      <c r="U347" s="78">
        <v>3.1403607735169814E-2</v>
      </c>
      <c r="V347" s="78">
        <v>101.80201744172791</v>
      </c>
      <c r="Y347" s="28"/>
      <c r="Z347" s="28"/>
      <c r="AK347" s="28"/>
      <c r="AS347" s="28"/>
      <c r="AT347" s="28"/>
    </row>
    <row r="348" spans="3:46" x14ac:dyDescent="0.15">
      <c r="C348" s="11">
        <v>1.9036829471588135E-3</v>
      </c>
      <c r="D348" s="11">
        <v>1.7526775598526001E-2</v>
      </c>
      <c r="E348" s="11">
        <v>0.21129180681579834</v>
      </c>
      <c r="F348" s="11">
        <v>0</v>
      </c>
      <c r="G348" s="11">
        <v>6.5738081932067871E-2</v>
      </c>
      <c r="H348" s="40">
        <v>8.6124936172104398E-4</v>
      </c>
      <c r="I348" s="40">
        <v>1.393238236582641</v>
      </c>
      <c r="J348" s="59">
        <v>0</v>
      </c>
      <c r="K348" s="59">
        <v>6754.2539909482002</v>
      </c>
      <c r="L348" s="59">
        <v>0</v>
      </c>
      <c r="M348" s="11">
        <v>0.86606508493423462</v>
      </c>
      <c r="N348" s="11">
        <v>0.71685564517974854</v>
      </c>
      <c r="O348" s="11">
        <v>0.400177001953125</v>
      </c>
      <c r="Q348" s="59">
        <v>15.15208482966368</v>
      </c>
      <c r="R348" s="78">
        <v>666.35730180105077</v>
      </c>
      <c r="S348" s="78">
        <v>15.243408688728501</v>
      </c>
      <c r="T348" s="78">
        <v>637.85197406088457</v>
      </c>
      <c r="U348" s="78">
        <v>9.1323859064820212E-2</v>
      </c>
      <c r="V348" s="78">
        <v>-28.505327740166194</v>
      </c>
      <c r="Y348" s="28"/>
      <c r="Z348" s="28"/>
      <c r="AK348" s="28"/>
      <c r="AS348" s="28"/>
      <c r="AT348" s="28"/>
    </row>
    <row r="349" spans="3:46" x14ac:dyDescent="0.15">
      <c r="C349" s="11">
        <v>4.2463302612304688E-2</v>
      </c>
      <c r="D349" s="11">
        <v>2.7776658535003662E-3</v>
      </c>
      <c r="E349" s="11">
        <v>0.2602645258105149</v>
      </c>
      <c r="F349" s="11">
        <v>0</v>
      </c>
      <c r="G349" s="11">
        <v>3.4188061952590942E-2</v>
      </c>
      <c r="H349" s="40">
        <v>4.0791409117977282E-4</v>
      </c>
      <c r="I349" s="40">
        <v>1.6113169966665615</v>
      </c>
      <c r="J349" s="59">
        <v>0</v>
      </c>
      <c r="K349" s="59">
        <v>6799.9726161360741</v>
      </c>
      <c r="L349" s="59">
        <v>0</v>
      </c>
      <c r="M349" s="11">
        <v>0.8783724308013916</v>
      </c>
      <c r="N349" s="11">
        <v>0.71573793888092041</v>
      </c>
      <c r="O349" s="11">
        <v>0.33062011003494263</v>
      </c>
      <c r="Q349" s="59">
        <v>14.754291617103767</v>
      </c>
      <c r="R349" s="78">
        <v>597.94858897371716</v>
      </c>
      <c r="S349" s="78">
        <v>14.829126191882999</v>
      </c>
      <c r="T349" s="78">
        <v>633.25851383812403</v>
      </c>
      <c r="U349" s="78">
        <v>7.4834574779231389E-2</v>
      </c>
      <c r="V349" s="78">
        <v>35.309924864406867</v>
      </c>
      <c r="Y349" s="28"/>
      <c r="Z349" s="28"/>
      <c r="AK349" s="28"/>
      <c r="AS349" s="28"/>
      <c r="AT349" s="28"/>
    </row>
    <row r="350" spans="3:46" x14ac:dyDescent="0.15">
      <c r="C350" s="11">
        <v>4.8493146896362305E-3</v>
      </c>
      <c r="D350" s="11">
        <v>3.3267855644226074E-2</v>
      </c>
      <c r="E350" s="11">
        <v>0.21646426495001639</v>
      </c>
      <c r="F350" s="11">
        <v>0</v>
      </c>
      <c r="G350" s="11">
        <v>3.5878092050552368E-2</v>
      </c>
      <c r="H350" s="40">
        <v>4.0147524085261627E-4</v>
      </c>
      <c r="I350" s="40">
        <v>1.4337091338764647</v>
      </c>
      <c r="J350" s="59">
        <v>0</v>
      </c>
      <c r="K350" s="59">
        <v>6207.7073380351067</v>
      </c>
      <c r="L350" s="59">
        <v>0</v>
      </c>
      <c r="M350" s="11">
        <v>0.87191694974899292</v>
      </c>
      <c r="N350" s="11">
        <v>0.74608743190765381</v>
      </c>
      <c r="O350" s="11">
        <v>0.31372863054275513</v>
      </c>
      <c r="Q350" s="59">
        <v>15.265689899497037</v>
      </c>
      <c r="R350" s="78">
        <v>508.65484566689366</v>
      </c>
      <c r="S350" s="78">
        <v>15.313140569785292</v>
      </c>
      <c r="T350" s="78">
        <v>604.12737078909345</v>
      </c>
      <c r="U350" s="78">
        <v>4.745067028825467E-2</v>
      </c>
      <c r="V350" s="78">
        <v>95.472525122199784</v>
      </c>
      <c r="Y350" s="28"/>
      <c r="Z350" s="28"/>
      <c r="AK350" s="28"/>
      <c r="AS350" s="28"/>
      <c r="AT350" s="28"/>
    </row>
    <row r="351" spans="3:46" x14ac:dyDescent="0.15">
      <c r="C351" s="11">
        <v>1.319846510887146E-2</v>
      </c>
      <c r="D351" s="11">
        <v>3.5727322101593018E-3</v>
      </c>
      <c r="E351" s="11">
        <v>0.32629640159817613</v>
      </c>
      <c r="F351" s="11">
        <v>0</v>
      </c>
      <c r="G351" s="11">
        <v>4.1143298149108887E-2</v>
      </c>
      <c r="H351" s="40">
        <v>6.4315707224232063E-4</v>
      </c>
      <c r="I351" s="40">
        <v>1.2930385361699772</v>
      </c>
      <c r="J351" s="59">
        <v>0</v>
      </c>
      <c r="K351" s="59">
        <v>6214.6037817001343</v>
      </c>
      <c r="L351" s="59">
        <v>0</v>
      </c>
      <c r="M351" s="11">
        <v>0.81608176231384277</v>
      </c>
      <c r="N351" s="11">
        <v>0.68584251403808594</v>
      </c>
      <c r="O351" s="11">
        <v>0.28815484046936035</v>
      </c>
      <c r="Q351" s="59">
        <v>14.168757820206721</v>
      </c>
      <c r="R351" s="78">
        <v>519.16658721753493</v>
      </c>
      <c r="S351" s="78">
        <v>14.206208383341767</v>
      </c>
      <c r="T351" s="78">
        <v>620.26676994363731</v>
      </c>
      <c r="U351" s="78">
        <v>3.7450563135045911E-2</v>
      </c>
      <c r="V351" s="78">
        <v>101.10018272610239</v>
      </c>
      <c r="Y351" s="28"/>
      <c r="Z351" s="28"/>
      <c r="AK351" s="28"/>
      <c r="AS351" s="28"/>
      <c r="AT351" s="28"/>
    </row>
    <row r="352" spans="3:46" x14ac:dyDescent="0.15">
      <c r="C352" s="11">
        <v>1.8199905753135681E-2</v>
      </c>
      <c r="D352" s="11">
        <v>2.9536783695220947E-2</v>
      </c>
      <c r="E352" s="11">
        <v>0.25431659273822843</v>
      </c>
      <c r="F352" s="11">
        <v>0</v>
      </c>
      <c r="G352" s="11">
        <v>5.8072090148925781E-2</v>
      </c>
      <c r="H352" s="40">
        <v>3.8981509241565402E-4</v>
      </c>
      <c r="I352" s="40">
        <v>1.6000732747942343</v>
      </c>
      <c r="J352" s="59">
        <v>0</v>
      </c>
      <c r="K352" s="59">
        <v>8055.2883446216583</v>
      </c>
      <c r="L352" s="59">
        <v>0</v>
      </c>
      <c r="M352" s="11">
        <v>0.87247377634048462</v>
      </c>
      <c r="N352" s="11">
        <v>0.74797940254211426</v>
      </c>
      <c r="O352" s="11">
        <v>0.29366731643676758</v>
      </c>
      <c r="Q352" s="59">
        <v>15.031300956933766</v>
      </c>
      <c r="R352" s="78">
        <v>649.34775226402496</v>
      </c>
      <c r="S352" s="78">
        <v>15.104696412507169</v>
      </c>
      <c r="T352" s="78">
        <v>645.24707064141478</v>
      </c>
      <c r="U352" s="78">
        <v>7.3395455573402657E-2</v>
      </c>
      <c r="V352" s="78">
        <v>-4.1006816226101819</v>
      </c>
      <c r="Y352" s="28"/>
      <c r="Z352" s="28"/>
      <c r="AK352" s="28"/>
      <c r="AS352" s="28"/>
      <c r="AT352" s="28"/>
    </row>
    <row r="353" spans="3:46" x14ac:dyDescent="0.15">
      <c r="C353" s="11">
        <v>3.3087551593780518E-2</v>
      </c>
      <c r="D353" s="11">
        <v>9.2471390962600708E-3</v>
      </c>
      <c r="E353" s="11">
        <v>0.13482347709998099</v>
      </c>
      <c r="F353" s="11">
        <v>0</v>
      </c>
      <c r="G353" s="11">
        <v>3.8865566253662109E-2</v>
      </c>
      <c r="H353" s="40">
        <v>4.7433134400244511E-4</v>
      </c>
      <c r="I353" s="40">
        <v>1.500395569847722</v>
      </c>
      <c r="J353" s="59">
        <v>0</v>
      </c>
      <c r="K353" s="59">
        <v>7391.7023837566376</v>
      </c>
      <c r="L353" s="59">
        <v>0</v>
      </c>
      <c r="M353" s="11">
        <v>0.82384020090103149</v>
      </c>
      <c r="N353" s="11">
        <v>0.72094535827636719</v>
      </c>
      <c r="O353" s="11">
        <v>0.2981095016002655</v>
      </c>
      <c r="Q353" s="59">
        <v>14.003586339404139</v>
      </c>
      <c r="R353" s="78">
        <v>587.27805525054862</v>
      </c>
      <c r="S353" s="78">
        <v>14.061242639338825</v>
      </c>
      <c r="T353" s="78">
        <v>605.59059654356884</v>
      </c>
      <c r="U353" s="78">
        <v>5.7656299934686572E-2</v>
      </c>
      <c r="V353" s="78">
        <v>18.312541293020217</v>
      </c>
      <c r="Y353" s="28"/>
      <c r="Z353" s="28"/>
      <c r="AK353" s="28"/>
      <c r="AS353" s="28"/>
      <c r="AT353" s="28"/>
    </row>
    <row r="354" spans="3:46" x14ac:dyDescent="0.15">
      <c r="C354" s="11">
        <v>2.0293682813644409E-2</v>
      </c>
      <c r="D354" s="11">
        <v>8.7024420499801636E-3</v>
      </c>
      <c r="E354" s="11">
        <v>0.23720268655759749</v>
      </c>
      <c r="F354" s="11">
        <v>0</v>
      </c>
      <c r="G354" s="11">
        <v>2.3916363716125488E-2</v>
      </c>
      <c r="H354" s="40">
        <v>5.3070709360811003E-4</v>
      </c>
      <c r="I354" s="40">
        <v>1.5639264371246206</v>
      </c>
      <c r="J354" s="59">
        <v>0</v>
      </c>
      <c r="K354" s="59">
        <v>5496.2188005447388</v>
      </c>
      <c r="L354" s="59">
        <v>0</v>
      </c>
      <c r="M354" s="11">
        <v>0.87456193566322327</v>
      </c>
      <c r="N354" s="11">
        <v>0.7332800030708313</v>
      </c>
      <c r="O354" s="11">
        <v>0.28098535537719727</v>
      </c>
      <c r="Q354" s="59">
        <v>15.023777009982979</v>
      </c>
      <c r="R354" s="78">
        <v>573.53231622247711</v>
      </c>
      <c r="S354" s="78">
        <v>15.107390120925695</v>
      </c>
      <c r="T354" s="78">
        <v>622.67120284751422</v>
      </c>
      <c r="U354" s="78">
        <v>8.3613110942716062E-2</v>
      </c>
      <c r="V354" s="78">
        <v>49.138886625037117</v>
      </c>
      <c r="Y354" s="28"/>
      <c r="Z354" s="28"/>
      <c r="AK354" s="28"/>
      <c r="AS354" s="28"/>
      <c r="AT354" s="28"/>
    </row>
    <row r="355" spans="3:46" x14ac:dyDescent="0.15">
      <c r="C355" s="11">
        <v>1.7995715141296387E-2</v>
      </c>
      <c r="D355" s="11">
        <v>9.9486708641052246E-3</v>
      </c>
      <c r="E355" s="11">
        <v>0.159553130575108</v>
      </c>
      <c r="F355" s="11">
        <v>0</v>
      </c>
      <c r="G355" s="11">
        <v>4.0296643972396851E-2</v>
      </c>
      <c r="H355" s="40">
        <v>6.4607076397974242E-4</v>
      </c>
      <c r="I355" s="40">
        <v>1.4700518582985767</v>
      </c>
      <c r="J355" s="59">
        <v>0</v>
      </c>
      <c r="K355" s="59">
        <v>7135.6212720274925</v>
      </c>
      <c r="L355" s="59">
        <v>0</v>
      </c>
      <c r="M355" s="11">
        <v>0.84485107660293579</v>
      </c>
      <c r="N355" s="11">
        <v>0.79048359394073486</v>
      </c>
      <c r="O355" s="11">
        <v>0.30251607298851013</v>
      </c>
      <c r="Q355" s="59">
        <v>14.590062441018395</v>
      </c>
      <c r="R355" s="78">
        <v>630.57102270617122</v>
      </c>
      <c r="S355" s="78">
        <v>14.643951501106146</v>
      </c>
      <c r="T355" s="78">
        <v>617.66042020835175</v>
      </c>
      <c r="U355" s="78">
        <v>5.3889060087751517E-2</v>
      </c>
      <c r="V355" s="78">
        <v>-12.910602497819468</v>
      </c>
      <c r="Y355" s="28"/>
      <c r="Z355" s="28"/>
      <c r="AK355" s="28"/>
      <c r="AS355" s="28"/>
      <c r="AT355" s="28"/>
    </row>
    <row r="356" spans="3:46" x14ac:dyDescent="0.15">
      <c r="C356" s="11">
        <v>1.0051757097244263E-2</v>
      </c>
      <c r="D356" s="11">
        <v>1.8537521362304688E-2</v>
      </c>
      <c r="E356" s="11">
        <v>0.43999625270274573</v>
      </c>
      <c r="F356" s="11">
        <v>0</v>
      </c>
      <c r="G356" s="11">
        <v>1.5822827816009521E-2</v>
      </c>
      <c r="H356" s="40">
        <v>3.8872274846398158E-4</v>
      </c>
      <c r="I356" s="40">
        <v>1.4824616958603278</v>
      </c>
      <c r="J356" s="59">
        <v>0</v>
      </c>
      <c r="K356" s="59">
        <v>4924.0572843700647</v>
      </c>
      <c r="L356" s="59">
        <v>0</v>
      </c>
      <c r="M356" s="11">
        <v>0.87103712558746338</v>
      </c>
      <c r="N356" s="11">
        <v>0.79015946388244629</v>
      </c>
      <c r="O356" s="11">
        <v>0.30595952272415161</v>
      </c>
      <c r="Q356" s="59">
        <v>15.18271890846548</v>
      </c>
      <c r="R356" s="78">
        <v>484.41334507591313</v>
      </c>
      <c r="S356" s="78">
        <v>15.209488408460583</v>
      </c>
      <c r="T356" s="78">
        <v>619.19504106906368</v>
      </c>
      <c r="U356" s="78">
        <v>2.6769499995102919E-2</v>
      </c>
      <c r="V356" s="78">
        <v>134.78169599315055</v>
      </c>
      <c r="Y356" s="28"/>
      <c r="Z356" s="28"/>
      <c r="AK356" s="28"/>
      <c r="AS356" s="28"/>
      <c r="AT356" s="28"/>
    </row>
    <row r="357" spans="3:46" x14ac:dyDescent="0.15">
      <c r="C357" s="11">
        <v>2.9527127742767334E-2</v>
      </c>
      <c r="D357" s="11">
        <v>1.1541292071342468E-2</v>
      </c>
      <c r="E357" s="11">
        <v>0.1819099897380656</v>
      </c>
      <c r="F357" s="11">
        <v>0</v>
      </c>
      <c r="G357" s="11">
        <v>3.6137238144874573E-2</v>
      </c>
      <c r="H357" s="40">
        <v>3.5165247150756491E-4</v>
      </c>
      <c r="I357" s="40">
        <v>1.4805263103007826</v>
      </c>
      <c r="J357" s="59">
        <v>0</v>
      </c>
      <c r="K357" s="59">
        <v>5773.2360437512398</v>
      </c>
      <c r="L357" s="59">
        <v>0</v>
      </c>
      <c r="M357" s="11">
        <v>0.88169211149215698</v>
      </c>
      <c r="N357" s="11">
        <v>0.73576468229293823</v>
      </c>
      <c r="O357" s="11">
        <v>0.25403976440429688</v>
      </c>
      <c r="Q357" s="59">
        <v>15.052002607427688</v>
      </c>
      <c r="R357" s="78">
        <v>499.15584978074241</v>
      </c>
      <c r="S357" s="78">
        <v>15.102536768199704</v>
      </c>
      <c r="T357" s="78">
        <v>598.38503144361493</v>
      </c>
      <c r="U357" s="78">
        <v>5.0534160772015113E-2</v>
      </c>
      <c r="V357" s="78">
        <v>99.22918166287252</v>
      </c>
      <c r="Y357" s="28"/>
      <c r="Z357" s="28"/>
      <c r="AK357" s="28"/>
      <c r="AS357" s="28"/>
      <c r="AT357" s="28"/>
    </row>
    <row r="358" spans="3:46" x14ac:dyDescent="0.15">
      <c r="C358" s="11">
        <v>6.0478448867797852E-3</v>
      </c>
      <c r="D358" s="11">
        <v>2.1837249398231506E-2</v>
      </c>
      <c r="E358" s="11">
        <v>0.37422731160379891</v>
      </c>
      <c r="F358" s="11">
        <v>0</v>
      </c>
      <c r="G358" s="11">
        <v>4.6415746212005615E-2</v>
      </c>
      <c r="H358" s="40">
        <v>5.2829282241501432E-4</v>
      </c>
      <c r="I358" s="40">
        <v>1.4289772094776763</v>
      </c>
      <c r="J358" s="59">
        <v>0</v>
      </c>
      <c r="K358" s="59">
        <v>5311.5468472242355</v>
      </c>
      <c r="L358" s="59">
        <v>0</v>
      </c>
      <c r="M358" s="11">
        <v>0.85959011316299438</v>
      </c>
      <c r="N358" s="11">
        <v>0.73841208219528198</v>
      </c>
      <c r="O358" s="11">
        <v>0.28915882110595703</v>
      </c>
      <c r="Q358" s="59">
        <v>15.016150794359897</v>
      </c>
      <c r="R358" s="78">
        <v>527.85679801673155</v>
      </c>
      <c r="S358" s="78">
        <v>15.062957049660998</v>
      </c>
      <c r="T358" s="78">
        <v>629.727860995951</v>
      </c>
      <c r="U358" s="78">
        <v>4.6806255301101274E-2</v>
      </c>
      <c r="V358" s="78">
        <v>101.87106297921946</v>
      </c>
      <c r="Y358" s="28"/>
      <c r="Z358" s="28"/>
      <c r="AK358" s="28"/>
      <c r="AS358" s="28"/>
      <c r="AT358" s="28"/>
    </row>
    <row r="359" spans="3:46" x14ac:dyDescent="0.15">
      <c r="C359" s="11">
        <v>2.4345159530639648E-2</v>
      </c>
      <c r="D359" s="11">
        <v>3.293260931968689E-2</v>
      </c>
      <c r="E359" s="11">
        <v>0.64088822224140707</v>
      </c>
      <c r="F359" s="11">
        <v>0</v>
      </c>
      <c r="G359" s="11">
        <v>2.8572782874107361E-2</v>
      </c>
      <c r="H359" s="40">
        <v>5.388628776903209E-4</v>
      </c>
      <c r="I359" s="40">
        <v>1.4590732789337844</v>
      </c>
      <c r="J359" s="59">
        <v>0</v>
      </c>
      <c r="K359" s="59">
        <v>6741.6159436106682</v>
      </c>
      <c r="L359" s="59">
        <v>0</v>
      </c>
      <c r="M359" s="11">
        <v>0.8636777400970459</v>
      </c>
      <c r="N359" s="11">
        <v>0.75355696678161621</v>
      </c>
      <c r="O359" s="11">
        <v>0.30557727813720703</v>
      </c>
      <c r="Q359" s="59">
        <v>14.805753304414322</v>
      </c>
      <c r="R359" s="78">
        <v>562.61342840153566</v>
      </c>
      <c r="S359" s="78">
        <v>14.83345907797751</v>
      </c>
      <c r="T359" s="78">
        <v>687.96325064738164</v>
      </c>
      <c r="U359" s="78">
        <v>2.7705773563187819E-2</v>
      </c>
      <c r="V359" s="78">
        <v>125.34982224584598</v>
      </c>
      <c r="Y359" s="28"/>
      <c r="Z359" s="28"/>
      <c r="AK359" s="28"/>
      <c r="AS359" s="28"/>
      <c r="AT359" s="28"/>
    </row>
    <row r="360" spans="3:46" x14ac:dyDescent="0.15">
      <c r="C360" s="11">
        <v>1.6629934310913086E-2</v>
      </c>
      <c r="D360" s="11">
        <v>8.0874264240264893E-3</v>
      </c>
      <c r="E360" s="11">
        <v>0.2700581584166693</v>
      </c>
      <c r="F360" s="11">
        <v>0</v>
      </c>
      <c r="G360" s="11">
        <v>4.3774932622909546E-2</v>
      </c>
      <c r="H360" s="40">
        <v>3.0604838995236197E-4</v>
      </c>
      <c r="I360" s="40">
        <v>1.4868682188848203</v>
      </c>
      <c r="J360" s="59">
        <v>0</v>
      </c>
      <c r="K360" s="59">
        <v>5823.0920694768429</v>
      </c>
      <c r="L360" s="59">
        <v>0</v>
      </c>
      <c r="M360" s="11">
        <v>0.81611460447311401</v>
      </c>
      <c r="N360" s="11">
        <v>0.71274924278259277</v>
      </c>
      <c r="O360" s="11">
        <v>0.30329486727714539</v>
      </c>
      <c r="Q360" s="59">
        <v>14.133336907157922</v>
      </c>
      <c r="R360" s="78">
        <v>493.3585322018825</v>
      </c>
      <c r="S360" s="78">
        <v>14.16417267379097</v>
      </c>
      <c r="T360" s="78">
        <v>606.11540249993641</v>
      </c>
      <c r="U360" s="78">
        <v>3.0835766633048323E-2</v>
      </c>
      <c r="V360" s="78">
        <v>112.75687029805391</v>
      </c>
      <c r="Y360" s="28"/>
      <c r="Z360" s="28"/>
      <c r="AK360" s="28"/>
      <c r="AS360" s="28"/>
      <c r="AT360" s="28"/>
    </row>
    <row r="361" spans="3:46" x14ac:dyDescent="0.15">
      <c r="C361" s="11">
        <v>1.6945838928222656E-2</v>
      </c>
      <c r="D361" s="11">
        <v>1.684252917766571E-2</v>
      </c>
      <c r="E361" s="11">
        <v>0.16357813245672806</v>
      </c>
      <c r="F361" s="11">
        <v>0</v>
      </c>
      <c r="G361" s="11">
        <v>3.4688562154769897E-2</v>
      </c>
      <c r="H361" s="40">
        <v>3.9362476167798162E-4</v>
      </c>
      <c r="I361" s="40">
        <v>1.4064478533558651</v>
      </c>
      <c r="J361" s="59">
        <v>0</v>
      </c>
      <c r="K361" s="59">
        <v>3632.5585097074509</v>
      </c>
      <c r="L361" s="59">
        <v>0</v>
      </c>
      <c r="M361" s="11">
        <v>0.83358901739120483</v>
      </c>
      <c r="N361" s="11">
        <v>0.7920231819152832</v>
      </c>
      <c r="O361" s="11">
        <v>0.28838026523590088</v>
      </c>
      <c r="Q361" s="59">
        <v>14.443558383096043</v>
      </c>
      <c r="R361" s="78">
        <v>453.95498957199567</v>
      </c>
      <c r="S361" s="78">
        <v>14.469492353701614</v>
      </c>
      <c r="T361" s="78">
        <v>588.92355825457116</v>
      </c>
      <c r="U361" s="78">
        <v>2.5933970605571233E-2</v>
      </c>
      <c r="V361" s="78">
        <v>134.96856868257549</v>
      </c>
      <c r="Y361" s="28"/>
      <c r="Z361" s="28"/>
      <c r="AK361" s="28"/>
      <c r="AS361" s="28"/>
      <c r="AT361" s="28"/>
    </row>
    <row r="362" spans="3:46" x14ac:dyDescent="0.15">
      <c r="C362" s="11">
        <v>1.1394470930099487E-2</v>
      </c>
      <c r="D362" s="11">
        <v>1.8621295690536499E-2</v>
      </c>
      <c r="E362" s="11">
        <v>0.23578389782731507</v>
      </c>
      <c r="F362" s="11">
        <v>0</v>
      </c>
      <c r="G362" s="11">
        <v>6.9148659706115723E-2</v>
      </c>
      <c r="H362" s="40">
        <v>3.4656707862096579E-4</v>
      </c>
      <c r="I362" s="40">
        <v>1.5749029016044105</v>
      </c>
      <c r="J362" s="59">
        <v>0</v>
      </c>
      <c r="K362" s="59">
        <v>5749.0449398756027</v>
      </c>
      <c r="L362" s="59">
        <v>0</v>
      </c>
      <c r="M362" s="11">
        <v>0.85414955019950867</v>
      </c>
      <c r="N362" s="11">
        <v>0.76257991790771484</v>
      </c>
      <c r="O362" s="11">
        <v>0.29083424806594849</v>
      </c>
      <c r="Q362" s="59">
        <v>14.846039059857983</v>
      </c>
      <c r="R362" s="78">
        <v>554.31294587973207</v>
      </c>
      <c r="S362" s="78">
        <v>14.89873721164752</v>
      </c>
      <c r="T362" s="78">
        <v>617.42913963002354</v>
      </c>
      <c r="U362" s="78">
        <v>5.2698151789536851E-2</v>
      </c>
      <c r="V362" s="78">
        <v>63.116193750291472</v>
      </c>
      <c r="Y362" s="28"/>
      <c r="Z362" s="28"/>
      <c r="AK362" s="28"/>
      <c r="AS362" s="28"/>
      <c r="AT362" s="28"/>
    </row>
    <row r="363" spans="3:46" x14ac:dyDescent="0.15">
      <c r="C363" s="11">
        <v>1.9778639078140259E-2</v>
      </c>
      <c r="D363" s="11">
        <v>1.1115461587905884E-2</v>
      </c>
      <c r="E363" s="11">
        <v>0.23969534411737881</v>
      </c>
      <c r="F363" s="11">
        <v>0</v>
      </c>
      <c r="G363" s="11">
        <v>2.0342051982879639E-2</v>
      </c>
      <c r="H363" s="40">
        <v>3.613774097910054E-4</v>
      </c>
      <c r="I363" s="40">
        <v>1.5192043344169164</v>
      </c>
      <c r="J363" s="59">
        <v>0</v>
      </c>
      <c r="K363" s="59">
        <v>6601.0793671011925</v>
      </c>
      <c r="L363" s="59">
        <v>0</v>
      </c>
      <c r="M363" s="11">
        <v>0.84500044584274292</v>
      </c>
      <c r="N363" s="11">
        <v>0.7622864842414856</v>
      </c>
      <c r="O363" s="11">
        <v>0.27583688497543335</v>
      </c>
      <c r="Q363" s="59">
        <v>14.581618095113511</v>
      </c>
      <c r="R363" s="78">
        <v>521.76611979570691</v>
      </c>
      <c r="S363" s="78">
        <v>14.618593658250429</v>
      </c>
      <c r="T363" s="78">
        <v>610.08090695871567</v>
      </c>
      <c r="U363" s="78">
        <v>3.697556313691841E-2</v>
      </c>
      <c r="V363" s="78">
        <v>88.314787163008759</v>
      </c>
      <c r="Y363" s="28"/>
      <c r="Z363" s="28"/>
      <c r="AK363" s="28"/>
      <c r="AS363" s="28"/>
      <c r="AT363" s="28"/>
    </row>
    <row r="364" spans="3:46" x14ac:dyDescent="0.15">
      <c r="C364" s="11">
        <v>1.1820480227470398E-2</v>
      </c>
      <c r="D364" s="11">
        <v>1.2650549411773682E-2</v>
      </c>
      <c r="E364" s="11">
        <v>0.22747259121483787</v>
      </c>
      <c r="F364" s="11">
        <v>0</v>
      </c>
      <c r="G364" s="11">
        <v>1.9689947366714478E-2</v>
      </c>
      <c r="H364" s="40">
        <v>4.467916185679797E-4</v>
      </c>
      <c r="I364" s="40">
        <v>1.424580709493189</v>
      </c>
      <c r="J364" s="59">
        <v>0</v>
      </c>
      <c r="K364" s="59">
        <v>5312.2499957680702</v>
      </c>
      <c r="L364" s="59">
        <v>0</v>
      </c>
      <c r="M364" s="11">
        <v>0.89688611030578613</v>
      </c>
      <c r="N364" s="11">
        <v>0.78634059429168701</v>
      </c>
      <c r="O364" s="11">
        <v>0.27466815710067749</v>
      </c>
      <c r="Q364" s="59">
        <v>15.599205985584954</v>
      </c>
      <c r="R364" s="78">
        <v>490.7431958248377</v>
      </c>
      <c r="S364" s="78">
        <v>15.642077496364212</v>
      </c>
      <c r="T364" s="78">
        <v>601.30221887880384</v>
      </c>
      <c r="U364" s="78">
        <v>4.287151077925877E-2</v>
      </c>
      <c r="V364" s="78">
        <v>110.55902305396614</v>
      </c>
      <c r="Y364" s="28"/>
      <c r="Z364" s="28"/>
      <c r="AK364" s="28"/>
      <c r="AS364" s="28"/>
      <c r="AT364" s="28"/>
    </row>
    <row r="365" spans="3:46" x14ac:dyDescent="0.15">
      <c r="C365" s="11">
        <v>2.4479866027832031E-2</v>
      </c>
      <c r="D365" s="11">
        <v>2.1905213594436646E-2</v>
      </c>
      <c r="E365" s="11">
        <v>0.21992478232897075</v>
      </c>
      <c r="F365" s="11">
        <v>0</v>
      </c>
      <c r="G365" s="11">
        <v>6.7821502685546875E-2</v>
      </c>
      <c r="H365" s="40">
        <v>6.3544288441163622E-4</v>
      </c>
      <c r="I365" s="40">
        <v>1.4299453455771802</v>
      </c>
      <c r="J365" s="59">
        <v>0</v>
      </c>
      <c r="K365" s="59">
        <v>3099.6836721897125</v>
      </c>
      <c r="L365" s="59">
        <v>0</v>
      </c>
      <c r="M365" s="11">
        <v>0.932373046875</v>
      </c>
      <c r="N365" s="11">
        <v>0.76550191640853882</v>
      </c>
      <c r="O365" s="11">
        <v>0.2590639591217041</v>
      </c>
      <c r="Q365" s="59">
        <v>15.948383080927202</v>
      </c>
      <c r="R365" s="78">
        <v>495.46776037587279</v>
      </c>
      <c r="S365" s="78">
        <v>16.039477301514591</v>
      </c>
      <c r="T365" s="78">
        <v>601.73466237886282</v>
      </c>
      <c r="U365" s="78">
        <v>9.1094220587388364E-2</v>
      </c>
      <c r="V365" s="78">
        <v>106.26690200299004</v>
      </c>
      <c r="Y365" s="28"/>
      <c r="Z365" s="28"/>
      <c r="AK365" s="28"/>
      <c r="AS365" s="28"/>
      <c r="AT365" s="28"/>
    </row>
    <row r="366" spans="3:46" x14ac:dyDescent="0.15">
      <c r="C366" s="11">
        <v>2.27794349193573E-2</v>
      </c>
      <c r="D366" s="11">
        <v>1.8389895558357239E-2</v>
      </c>
      <c r="E366" s="11">
        <v>0.23465839514003214</v>
      </c>
      <c r="F366" s="11">
        <v>0</v>
      </c>
      <c r="G366" s="11">
        <v>2.0797997713088989E-2</v>
      </c>
      <c r="H366" s="40">
        <v>3.3195050965905478E-4</v>
      </c>
      <c r="I366" s="40">
        <v>1.5048125384281323</v>
      </c>
      <c r="J366" s="59">
        <v>0</v>
      </c>
      <c r="K366" s="59">
        <v>4364.8830614984035</v>
      </c>
      <c r="L366" s="59">
        <v>0</v>
      </c>
      <c r="M366" s="11">
        <v>0.81752705574035645</v>
      </c>
      <c r="N366" s="11">
        <v>0.74903726577758789</v>
      </c>
      <c r="O366" s="11">
        <v>0.30914148688316345</v>
      </c>
      <c r="Q366" s="59">
        <v>14.07251776608398</v>
      </c>
      <c r="R366" s="78">
        <v>468.44751544481164</v>
      </c>
      <c r="S366" s="78">
        <v>14.102217681718031</v>
      </c>
      <c r="T366" s="78">
        <v>596.69841670978633</v>
      </c>
      <c r="U366" s="78">
        <v>2.9699915634051166E-2</v>
      </c>
      <c r="V366" s="78">
        <v>128.25090126497469</v>
      </c>
      <c r="Y366" s="28"/>
      <c r="Z366" s="28"/>
      <c r="AK366" s="28"/>
      <c r="AS366" s="28"/>
      <c r="AT366" s="28"/>
    </row>
    <row r="367" spans="3:46" x14ac:dyDescent="0.15">
      <c r="C367" s="11">
        <v>1.4111712574958801E-2</v>
      </c>
      <c r="D367" s="11">
        <v>1.4818459749221802E-2</v>
      </c>
      <c r="E367" s="11">
        <v>0.15808249868898125</v>
      </c>
      <c r="F367" s="11">
        <v>0</v>
      </c>
      <c r="G367" s="11">
        <v>5.1829308271408081E-2</v>
      </c>
      <c r="H367" s="40">
        <v>6.2163071940848544E-4</v>
      </c>
      <c r="I367" s="40">
        <v>1.4228163665102405</v>
      </c>
      <c r="J367" s="59">
        <v>0</v>
      </c>
      <c r="K367" s="59">
        <v>4472.0503501594067</v>
      </c>
      <c r="L367" s="59">
        <v>0</v>
      </c>
      <c r="M367" s="11">
        <v>0.82682454586029053</v>
      </c>
      <c r="N367" s="11">
        <v>0.8119194507598877</v>
      </c>
      <c r="O367" s="11">
        <v>0.29253435134887695</v>
      </c>
      <c r="Q367" s="59">
        <v>14.355017355439085</v>
      </c>
      <c r="R367" s="78">
        <v>526.49141189604563</v>
      </c>
      <c r="S367" s="78">
        <v>14.391526627902438</v>
      </c>
      <c r="T367" s="78">
        <v>600.35542941567587</v>
      </c>
      <c r="U367" s="78">
        <v>3.6509272463353781E-2</v>
      </c>
      <c r="V367" s="78">
        <v>73.864017519630238</v>
      </c>
      <c r="Y367" s="28"/>
      <c r="Z367" s="28"/>
      <c r="AK367" s="28"/>
      <c r="AS367" s="28"/>
      <c r="AT367" s="28"/>
    </row>
    <row r="368" spans="3:46" x14ac:dyDescent="0.15">
      <c r="C368" s="11">
        <v>2.571481466293335E-2</v>
      </c>
      <c r="D368" s="11">
        <v>1.7373219132423401E-2</v>
      </c>
      <c r="E368" s="11">
        <v>0.22683726368106233</v>
      </c>
      <c r="F368" s="11">
        <v>0</v>
      </c>
      <c r="G368" s="11">
        <v>7.7572345733642578E-2</v>
      </c>
      <c r="H368" s="40">
        <v>5.0353690510019223E-4</v>
      </c>
      <c r="I368" s="40">
        <v>1.5034761570813009</v>
      </c>
      <c r="J368" s="59">
        <v>0</v>
      </c>
      <c r="K368" s="59">
        <v>4667.5000339746475</v>
      </c>
      <c r="L368" s="59">
        <v>0</v>
      </c>
      <c r="M368" s="11">
        <v>0.84528768062591553</v>
      </c>
      <c r="N368" s="11">
        <v>0.75915879011154175</v>
      </c>
      <c r="O368" s="11">
        <v>0.24583911895751953</v>
      </c>
      <c r="Q368" s="59">
        <v>14.465676644389653</v>
      </c>
      <c r="R368" s="78">
        <v>550.16143098415228</v>
      </c>
      <c r="S368" s="78">
        <v>14.528025355266269</v>
      </c>
      <c r="T368" s="78">
        <v>615.0942858104562</v>
      </c>
      <c r="U368" s="78">
        <v>6.2348710876616309E-2</v>
      </c>
      <c r="V368" s="78">
        <v>64.932854826303924</v>
      </c>
      <c r="Y368" s="28"/>
      <c r="Z368" s="28"/>
      <c r="AK368" s="28"/>
      <c r="AS368" s="28"/>
      <c r="AT368" s="28"/>
    </row>
    <row r="369" spans="3:46" x14ac:dyDescent="0.15">
      <c r="C369" s="11">
        <v>4.2683601379394531E-2</v>
      </c>
      <c r="D369" s="11">
        <v>1.5404075384140015E-2</v>
      </c>
      <c r="E369" s="11">
        <v>0.18043481823917709</v>
      </c>
      <c r="F369" s="11">
        <v>0</v>
      </c>
      <c r="G369" s="11">
        <v>3.4988343715667725E-2</v>
      </c>
      <c r="H369" s="40">
        <v>5.8640796344558508E-4</v>
      </c>
      <c r="I369" s="40">
        <v>1.4381280648748076</v>
      </c>
      <c r="J369" s="59">
        <v>0</v>
      </c>
      <c r="K369" s="59">
        <v>5813.4179562330246</v>
      </c>
      <c r="L369" s="59">
        <v>0</v>
      </c>
      <c r="M369" s="11">
        <v>0.86057651042938232</v>
      </c>
      <c r="N369" s="11">
        <v>0.80631065368652344</v>
      </c>
      <c r="O369" s="11">
        <v>0.36485624313354492</v>
      </c>
      <c r="Q369" s="59">
        <v>14.501190947038282</v>
      </c>
      <c r="R369" s="78">
        <v>545.64380319571717</v>
      </c>
      <c r="S369" s="78">
        <v>14.542648444494249</v>
      </c>
      <c r="T369" s="78">
        <v>606.88971965020039</v>
      </c>
      <c r="U369" s="78">
        <v>4.1457497455967385E-2</v>
      </c>
      <c r="V369" s="78">
        <v>61.245916454483222</v>
      </c>
      <c r="Y369" s="28"/>
      <c r="Z369" s="28"/>
      <c r="AK369" s="28"/>
      <c r="AS369" s="28"/>
      <c r="AT369" s="28"/>
    </row>
    <row r="370" spans="3:46" x14ac:dyDescent="0.15">
      <c r="C370" s="11">
        <v>2.6782453060150146E-3</v>
      </c>
      <c r="D370" s="11">
        <v>1.1094376444816589E-2</v>
      </c>
      <c r="E370" s="11">
        <v>0.15790132526780778</v>
      </c>
      <c r="F370" s="11">
        <v>0</v>
      </c>
      <c r="G370" s="11">
        <v>8.2972049713134766E-2</v>
      </c>
      <c r="H370" s="40">
        <v>3.7141562946501987E-4</v>
      </c>
      <c r="I370" s="40">
        <v>1.4546783463518338</v>
      </c>
      <c r="J370" s="59">
        <v>0</v>
      </c>
      <c r="K370" s="59">
        <v>6387.4945044517517</v>
      </c>
      <c r="L370" s="59">
        <v>0</v>
      </c>
      <c r="M370" s="11">
        <v>0.77757453918457031</v>
      </c>
      <c r="N370" s="11">
        <v>0.82238101959228516</v>
      </c>
      <c r="O370" s="11">
        <v>0.26153218746185303</v>
      </c>
      <c r="Q370" s="59">
        <v>13.680852547711709</v>
      </c>
      <c r="R370" s="78">
        <v>538.77071339325892</v>
      </c>
      <c r="S370" s="78">
        <v>13.69521263547642</v>
      </c>
      <c r="T370" s="78">
        <v>602.15243791635396</v>
      </c>
      <c r="U370" s="78">
        <v>1.4360087764710983E-2</v>
      </c>
      <c r="V370" s="78">
        <v>63.381724523095045</v>
      </c>
      <c r="Y370" s="28"/>
      <c r="Z370" s="28"/>
      <c r="AK370" s="28"/>
      <c r="AS370" s="28"/>
      <c r="AT370" s="28"/>
    </row>
    <row r="371" spans="3:46" x14ac:dyDescent="0.15">
      <c r="C371" s="11">
        <v>2.1736383438110352E-2</v>
      </c>
      <c r="D371" s="11">
        <v>1.2674272060394287E-2</v>
      </c>
      <c r="E371" s="11">
        <v>0.23756997334491653</v>
      </c>
      <c r="F371" s="11">
        <v>0</v>
      </c>
      <c r="G371" s="11">
        <v>2.9025554656982422E-2</v>
      </c>
      <c r="H371" s="40">
        <v>5.6436460786014159E-4</v>
      </c>
      <c r="I371" s="40">
        <v>1.3609850645231121</v>
      </c>
      <c r="J371" s="59">
        <v>0</v>
      </c>
      <c r="K371" s="59">
        <v>4952.277522534132</v>
      </c>
      <c r="L371" s="59">
        <v>0</v>
      </c>
      <c r="M371" s="11">
        <v>0.82676255702972412</v>
      </c>
      <c r="N371" s="11">
        <v>0.77566593885421753</v>
      </c>
      <c r="O371" s="11">
        <v>0.29216504096984863</v>
      </c>
      <c r="Q371" s="59">
        <v>14.24757280817745</v>
      </c>
      <c r="R371" s="78">
        <v>492.72760721456649</v>
      </c>
      <c r="S371" s="78">
        <v>14.276844571001659</v>
      </c>
      <c r="T371" s="78">
        <v>602.76608282016196</v>
      </c>
      <c r="U371" s="78">
        <v>2.9271762824208736E-2</v>
      </c>
      <c r="V371" s="78">
        <v>110.03847560559547</v>
      </c>
      <c r="Y371" s="28"/>
      <c r="Z371" s="28"/>
      <c r="AK371" s="28"/>
      <c r="AS371" s="28"/>
      <c r="AT371" s="28"/>
    </row>
    <row r="372" spans="3:46" x14ac:dyDescent="0.15">
      <c r="C372" s="11">
        <v>4.5838654041290283E-3</v>
      </c>
      <c r="D372" s="11">
        <v>2.6092231273651123E-2</v>
      </c>
      <c r="E372" s="11">
        <v>0.16726472214730412</v>
      </c>
      <c r="F372" s="11">
        <v>0</v>
      </c>
      <c r="G372" s="11">
        <v>3.1068980693817139E-2</v>
      </c>
      <c r="H372" s="40">
        <v>5.6500791773950469E-4</v>
      </c>
      <c r="I372" s="40">
        <v>1.4543048679528694</v>
      </c>
      <c r="J372" s="59">
        <v>0</v>
      </c>
      <c r="K372" s="59">
        <v>2653.0958712100983</v>
      </c>
      <c r="L372" s="59">
        <v>0</v>
      </c>
      <c r="M372" s="11">
        <v>0.86999571323394775</v>
      </c>
      <c r="N372" s="11">
        <v>0.76392358541488647</v>
      </c>
      <c r="O372" s="11">
        <v>0.2817000150680542</v>
      </c>
      <c r="Q372" s="59">
        <v>15.21588078924789</v>
      </c>
      <c r="R372" s="78">
        <v>464.99660191340649</v>
      </c>
      <c r="S372" s="78">
        <v>15.282947552829087</v>
      </c>
      <c r="T372" s="78">
        <v>591.11371830622375</v>
      </c>
      <c r="U372" s="78">
        <v>6.7066763581197009E-2</v>
      </c>
      <c r="V372" s="78">
        <v>126.11711639281725</v>
      </c>
      <c r="Y372" s="28"/>
      <c r="Z372" s="28"/>
      <c r="AK372" s="28"/>
      <c r="AS372" s="28"/>
      <c r="AT372" s="28"/>
    </row>
    <row r="373" spans="3:46" x14ac:dyDescent="0.15">
      <c r="C373" s="11">
        <v>1.747170090675354E-2</v>
      </c>
      <c r="D373" s="11">
        <v>3.3942461013793945E-2</v>
      </c>
      <c r="E373" s="11">
        <v>0.64174300716338184</v>
      </c>
      <c r="F373" s="11">
        <v>0</v>
      </c>
      <c r="G373" s="11">
        <v>4.2672693729400635E-2</v>
      </c>
      <c r="H373" s="40">
        <v>4.0038417718721428E-4</v>
      </c>
      <c r="I373" s="40">
        <v>1.4262263670275719</v>
      </c>
      <c r="J373" s="59">
        <v>0</v>
      </c>
      <c r="K373" s="59">
        <v>6678.3605143427849</v>
      </c>
      <c r="L373" s="59">
        <v>0</v>
      </c>
      <c r="M373" s="11">
        <v>0.88218438625335693</v>
      </c>
      <c r="N373" s="11">
        <v>0.72394323348999023</v>
      </c>
      <c r="O373" s="11">
        <v>0.29528957605361938</v>
      </c>
      <c r="Q373" s="59">
        <v>15.241915693506765</v>
      </c>
      <c r="R373" s="78">
        <v>516.97802578115386</v>
      </c>
      <c r="S373" s="78">
        <v>15.266135599905539</v>
      </c>
      <c r="T373" s="78">
        <v>658.35093858397693</v>
      </c>
      <c r="U373" s="78">
        <v>2.4219906398773361E-2</v>
      </c>
      <c r="V373" s="78">
        <v>141.37291280282307</v>
      </c>
      <c r="Y373" s="28"/>
      <c r="Z373" s="28"/>
      <c r="AK373" s="28"/>
      <c r="AS373" s="28"/>
      <c r="AT373" s="28"/>
    </row>
    <row r="374" spans="3:46" x14ac:dyDescent="0.15">
      <c r="C374" s="11">
        <v>7.6160281896591187E-3</v>
      </c>
      <c r="D374" s="11">
        <v>1.3510674238204956E-2</v>
      </c>
      <c r="E374" s="11">
        <v>0.20232636289106046</v>
      </c>
      <c r="F374" s="11">
        <v>0</v>
      </c>
      <c r="G374" s="11">
        <v>5.3613007068634033E-2</v>
      </c>
      <c r="H374" s="40">
        <v>4.0423408894135358E-4</v>
      </c>
      <c r="I374" s="40">
        <v>1.5327832577936766</v>
      </c>
      <c r="J374" s="59">
        <v>0</v>
      </c>
      <c r="K374" s="59">
        <v>5306.9461137056351</v>
      </c>
      <c r="L374" s="59">
        <v>0</v>
      </c>
      <c r="M374" s="11">
        <v>0.85899907350540161</v>
      </c>
      <c r="N374" s="11">
        <v>0.72442042827606201</v>
      </c>
      <c r="O374" s="11">
        <v>0.28730767965316772</v>
      </c>
      <c r="Q374" s="59">
        <v>14.975931347897479</v>
      </c>
      <c r="R374" s="78">
        <v>537.38490928551039</v>
      </c>
      <c r="S374" s="78">
        <v>15.040605656412714</v>
      </c>
      <c r="T374" s="78">
        <v>608.52452156588947</v>
      </c>
      <c r="U374" s="78">
        <v>6.4674308515234813E-2</v>
      </c>
      <c r="V374" s="78">
        <v>71.139612280379083</v>
      </c>
      <c r="Y374" s="28"/>
      <c r="Z374" s="28"/>
      <c r="AK374" s="28"/>
      <c r="AS374" s="28"/>
      <c r="AT374" s="28"/>
    </row>
    <row r="375" spans="3:46" x14ac:dyDescent="0.15">
      <c r="C375" s="11">
        <v>1.748320460319519E-2</v>
      </c>
      <c r="D375" s="11">
        <v>2.3161470890045166E-3</v>
      </c>
      <c r="E375" s="11">
        <v>0.22540168960753304</v>
      </c>
      <c r="F375" s="11">
        <v>0</v>
      </c>
      <c r="G375" s="11">
        <v>2.3597389459609985E-2</v>
      </c>
      <c r="H375" s="40">
        <v>4.3750803694162849E-4</v>
      </c>
      <c r="I375" s="40">
        <v>1.4581111425838837</v>
      </c>
      <c r="J375" s="59">
        <v>0</v>
      </c>
      <c r="K375" s="59">
        <v>3884.7466930747032</v>
      </c>
      <c r="L375" s="59">
        <v>0</v>
      </c>
      <c r="M375" s="11">
        <v>0.82638257741928101</v>
      </c>
      <c r="N375" s="11">
        <v>0.74187517166137695</v>
      </c>
      <c r="O375" s="11">
        <v>0.34040355682373047</v>
      </c>
      <c r="Q375" s="59">
        <v>14.297066632179106</v>
      </c>
      <c r="R375" s="78">
        <v>471.79925456250237</v>
      </c>
      <c r="S375" s="78">
        <v>14.331445581668262</v>
      </c>
      <c r="T375" s="78">
        <v>596.79496418177803</v>
      </c>
      <c r="U375" s="78">
        <v>3.4378949489155985E-2</v>
      </c>
      <c r="V375" s="78">
        <v>124.99570961927566</v>
      </c>
      <c r="Y375" s="28"/>
      <c r="Z375" s="28"/>
      <c r="AK375" s="28"/>
      <c r="AS375" s="28"/>
      <c r="AT375" s="28"/>
    </row>
    <row r="376" spans="3:46" x14ac:dyDescent="0.15">
      <c r="C376" s="11">
        <v>5.3414702415466309E-3</v>
      </c>
      <c r="D376" s="11">
        <v>2.1686375141143799E-2</v>
      </c>
      <c r="E376" s="11">
        <v>0.44104396900296627</v>
      </c>
      <c r="F376" s="11">
        <v>0</v>
      </c>
      <c r="G376" s="11">
        <v>2.2178769111633301E-2</v>
      </c>
      <c r="H376" s="40">
        <v>4.3251797120329595E-4</v>
      </c>
      <c r="I376" s="40">
        <v>1.4577317500852645</v>
      </c>
      <c r="J376" s="59">
        <v>0</v>
      </c>
      <c r="K376" s="59">
        <v>5040.349205955863</v>
      </c>
      <c r="L376" s="59">
        <v>0</v>
      </c>
      <c r="M376" s="11">
        <v>0.86260199546813965</v>
      </c>
      <c r="N376" s="11">
        <v>0.80654501914978027</v>
      </c>
      <c r="O376" s="11">
        <v>0.27632683515548706</v>
      </c>
      <c r="Q376" s="59">
        <v>15.109724866541658</v>
      </c>
      <c r="R376" s="78">
        <v>493.79436842740347</v>
      </c>
      <c r="S376" s="78">
        <v>15.134921637611946</v>
      </c>
      <c r="T376" s="78">
        <v>623.47592096249036</v>
      </c>
      <c r="U376" s="78">
        <v>2.5196771070287838E-2</v>
      </c>
      <c r="V376" s="78">
        <v>129.68155253508689</v>
      </c>
      <c r="Y376" s="28"/>
      <c r="Z376" s="28"/>
      <c r="AK376" s="28"/>
      <c r="AS376" s="28"/>
      <c r="AT376" s="28"/>
    </row>
    <row r="377" spans="3:46" x14ac:dyDescent="0.15">
      <c r="C377" s="11">
        <v>7.1103274822235107E-3</v>
      </c>
      <c r="D377" s="11">
        <v>4.3990164995193481E-3</v>
      </c>
      <c r="E377" s="11">
        <v>0.34742615086605821</v>
      </c>
      <c r="F377" s="11">
        <v>0</v>
      </c>
      <c r="G377" s="11">
        <v>2.3582637310028076E-2</v>
      </c>
      <c r="H377" s="40">
        <v>3.0074776341372641E-4</v>
      </c>
      <c r="I377" s="40">
        <v>1.4906539735056541</v>
      </c>
      <c r="J377" s="59">
        <v>0</v>
      </c>
      <c r="K377" s="59">
        <v>4038.7012995779514</v>
      </c>
      <c r="L377" s="59">
        <v>0</v>
      </c>
      <c r="M377" s="11">
        <v>0.84949484467506409</v>
      </c>
      <c r="N377" s="11">
        <v>0.78803849220275879</v>
      </c>
      <c r="O377" s="11">
        <v>0.2667694091796875</v>
      </c>
      <c r="Q377" s="59">
        <v>14.865903511530451</v>
      </c>
      <c r="R377" s="78">
        <v>456.08489847574788</v>
      </c>
      <c r="S377" s="78">
        <v>14.886997107667638</v>
      </c>
      <c r="T377" s="78">
        <v>600.77643332379216</v>
      </c>
      <c r="U377" s="78">
        <v>2.109359613718631E-2</v>
      </c>
      <c r="V377" s="78">
        <v>144.69153484804428</v>
      </c>
      <c r="Y377" s="28"/>
      <c r="Z377" s="28"/>
      <c r="AK377" s="28"/>
      <c r="AS377" s="28"/>
      <c r="AT377" s="28"/>
    </row>
    <row r="378" spans="3:46" x14ac:dyDescent="0.15">
      <c r="C378" s="11">
        <v>1.0877758264541626E-2</v>
      </c>
      <c r="D378" s="11">
        <v>3.7362575531005859E-3</v>
      </c>
      <c r="E378" s="11">
        <v>0.59870420789622092</v>
      </c>
      <c r="F378" s="11">
        <v>0</v>
      </c>
      <c r="G378" s="11">
        <v>4.4040411710739136E-2</v>
      </c>
      <c r="H378" s="40">
        <v>4.7993167851622043E-4</v>
      </c>
      <c r="I378" s="40">
        <v>1.3451849161730121</v>
      </c>
      <c r="J378" s="59">
        <v>0</v>
      </c>
      <c r="K378" s="59">
        <v>4582.3329128324986</v>
      </c>
      <c r="L378" s="59">
        <v>0</v>
      </c>
      <c r="M378" s="11">
        <v>0.86087238788604736</v>
      </c>
      <c r="N378" s="11">
        <v>0.76714509725570679</v>
      </c>
      <c r="O378" s="11">
        <v>0.28971382975578308</v>
      </c>
      <c r="Q378" s="59">
        <v>14.998199349725592</v>
      </c>
      <c r="R378" s="78">
        <v>475.73431732591104</v>
      </c>
      <c r="S378" s="78">
        <v>15.015081261471492</v>
      </c>
      <c r="T378" s="78">
        <v>628.20461049084099</v>
      </c>
      <c r="U378" s="78">
        <v>1.6881911745899814E-2</v>
      </c>
      <c r="V378" s="78">
        <v>152.47029316492996</v>
      </c>
      <c r="Y378" s="28"/>
      <c r="Z378" s="28"/>
      <c r="AK378" s="28"/>
      <c r="AS378" s="28"/>
      <c r="AT378" s="28"/>
    </row>
    <row r="379" spans="3:46" x14ac:dyDescent="0.15">
      <c r="C379" s="11">
        <v>5.6155920028686523E-2</v>
      </c>
      <c r="D379" s="11">
        <v>1.9781455397605896E-2</v>
      </c>
      <c r="E379" s="11">
        <v>0.17768677872252311</v>
      </c>
      <c r="F379" s="11">
        <v>0</v>
      </c>
      <c r="G379" s="11">
        <v>4.8900574445724487E-2</v>
      </c>
      <c r="H379" s="40">
        <v>3.3011184084219753E-4</v>
      </c>
      <c r="I379" s="40">
        <v>1.6319313722457505</v>
      </c>
      <c r="J379" s="59">
        <v>0</v>
      </c>
      <c r="K379" s="59">
        <v>3278.2973721623421</v>
      </c>
      <c r="L379" s="59">
        <v>0</v>
      </c>
      <c r="M379" s="11">
        <v>0.79966843128204346</v>
      </c>
      <c r="N379" s="11">
        <v>0.82281708717346191</v>
      </c>
      <c r="O379" s="11">
        <v>0.31037354469299316</v>
      </c>
      <c r="Q379" s="59">
        <v>13.30401534685924</v>
      </c>
      <c r="R379" s="78">
        <v>483.58860573802866</v>
      </c>
      <c r="S379" s="78">
        <v>13.326723063224497</v>
      </c>
      <c r="T379" s="78">
        <v>595.25694531492252</v>
      </c>
      <c r="U379" s="78">
        <v>2.2707716365257369E-2</v>
      </c>
      <c r="V379" s="78">
        <v>111.66833957689386</v>
      </c>
      <c r="Y379" s="28"/>
      <c r="Z379" s="28"/>
      <c r="AK379" s="28"/>
      <c r="AS379" s="28"/>
      <c r="AT379" s="28"/>
    </row>
    <row r="380" spans="3:46" x14ac:dyDescent="0.15">
      <c r="C380" s="11">
        <v>1.6819760203361511E-2</v>
      </c>
      <c r="D380" s="11">
        <v>3.8925409317016602E-3</v>
      </c>
      <c r="E380" s="11">
        <v>0.33703373472199766</v>
      </c>
      <c r="F380" s="11">
        <v>0</v>
      </c>
      <c r="G380" s="11">
        <v>1.6309797763824463E-2</v>
      </c>
      <c r="H380" s="40">
        <v>4.8141272904559659E-4</v>
      </c>
      <c r="I380" s="40">
        <v>1.4025820531767323</v>
      </c>
      <c r="J380" s="59">
        <v>0</v>
      </c>
      <c r="K380" s="59">
        <v>5327.2116929292679</v>
      </c>
      <c r="L380" s="59">
        <v>0</v>
      </c>
      <c r="M380" s="11">
        <v>0.84267988801002502</v>
      </c>
      <c r="N380" s="11">
        <v>0.81787610054016113</v>
      </c>
      <c r="O380" s="11">
        <v>0.29691797494888306</v>
      </c>
      <c r="Q380" s="59">
        <v>14.60785757400542</v>
      </c>
      <c r="R380" s="78">
        <v>489.59236942294194</v>
      </c>
      <c r="S380" s="78">
        <v>14.625314838910318</v>
      </c>
      <c r="T380" s="78">
        <v>611.58948596965229</v>
      </c>
      <c r="U380" s="78">
        <v>1.7457264904898295E-2</v>
      </c>
      <c r="V380" s="78">
        <v>121.99711654671034</v>
      </c>
      <c r="Y380" s="28"/>
      <c r="Z380" s="28"/>
      <c r="AK380" s="28"/>
      <c r="AS380" s="28"/>
      <c r="AT380" s="28"/>
    </row>
    <row r="381" spans="3:46" x14ac:dyDescent="0.15">
      <c r="C381" s="11">
        <v>2.5753706693649292E-2</v>
      </c>
      <c r="D381" s="11">
        <v>8.4063708782196045E-3</v>
      </c>
      <c r="E381" s="11">
        <v>0.35123258888930525</v>
      </c>
      <c r="F381" s="11">
        <v>0</v>
      </c>
      <c r="G381" s="11">
        <v>8.1956863403320312E-2</v>
      </c>
      <c r="H381" s="40">
        <v>4.8784091436305399E-4</v>
      </c>
      <c r="I381" s="40">
        <v>1.4240714498751466</v>
      </c>
      <c r="J381" s="59">
        <v>0</v>
      </c>
      <c r="K381" s="59">
        <v>3475.523553788662</v>
      </c>
      <c r="L381" s="59">
        <v>0</v>
      </c>
      <c r="M381" s="11">
        <v>0.86005479097366333</v>
      </c>
      <c r="N381" s="11">
        <v>0.78252923488616943</v>
      </c>
      <c r="O381" s="11">
        <v>0.30990004539489746</v>
      </c>
      <c r="Q381" s="59">
        <v>14.745594797076722</v>
      </c>
      <c r="R381" s="78">
        <v>485.98196973373109</v>
      </c>
      <c r="S381" s="78">
        <v>14.780882916774516</v>
      </c>
      <c r="T381" s="78">
        <v>611.68239140559558</v>
      </c>
      <c r="U381" s="78">
        <v>3.5288119697794329E-2</v>
      </c>
      <c r="V381" s="78">
        <v>125.70042167186449</v>
      </c>
      <c r="Y381" s="28"/>
      <c r="Z381" s="28"/>
      <c r="AK381" s="28"/>
      <c r="AS381" s="28"/>
      <c r="AT381" s="28"/>
    </row>
    <row r="382" spans="3:46" x14ac:dyDescent="0.15">
      <c r="C382" s="11">
        <v>1.0724484920501709E-2</v>
      </c>
      <c r="D382" s="11">
        <v>4.1122734546661377E-3</v>
      </c>
      <c r="E382" s="11">
        <v>0.62022777070299984</v>
      </c>
      <c r="F382" s="11">
        <v>0</v>
      </c>
      <c r="G382" s="11">
        <v>1.4070570468902588E-2</v>
      </c>
      <c r="H382" s="40">
        <v>4.3562369617916179E-4</v>
      </c>
      <c r="I382" s="40">
        <v>1.4162770288514763</v>
      </c>
      <c r="J382" s="59">
        <v>0</v>
      </c>
      <c r="K382" s="59">
        <v>5453.6457173526287</v>
      </c>
      <c r="L382" s="59">
        <v>0</v>
      </c>
      <c r="M382" s="11">
        <v>0.86777719855308533</v>
      </c>
      <c r="N382" s="11">
        <v>0.75098711252212524</v>
      </c>
      <c r="O382" s="11">
        <v>0.28892654180526733</v>
      </c>
      <c r="Q382" s="59">
        <v>15.113213410498155</v>
      </c>
      <c r="R382" s="78">
        <v>485.55753015215004</v>
      </c>
      <c r="S382" s="78">
        <v>15.132150313086722</v>
      </c>
      <c r="T382" s="78">
        <v>636.14227873841071</v>
      </c>
      <c r="U382" s="78">
        <v>1.8936902588567506E-2</v>
      </c>
      <c r="V382" s="78">
        <v>150.58474858626067</v>
      </c>
      <c r="Y382" s="28"/>
      <c r="Z382" s="28"/>
      <c r="AK382" s="28"/>
      <c r="AS382" s="28"/>
      <c r="AT382" s="28"/>
    </row>
    <row r="383" spans="3:46" x14ac:dyDescent="0.15">
      <c r="C383" s="11">
        <v>1.6959428787231445E-2</v>
      </c>
      <c r="D383" s="11">
        <v>5.0701022148132324E-2</v>
      </c>
      <c r="E383" s="11">
        <v>0.26506950572457422</v>
      </c>
      <c r="F383" s="11">
        <v>0</v>
      </c>
      <c r="G383" s="11">
        <v>7.6258540153503418E-2</v>
      </c>
      <c r="H383" s="40">
        <v>3.5860988560576328E-4</v>
      </c>
      <c r="I383" s="40">
        <v>1.4739537317040468</v>
      </c>
      <c r="J383" s="59">
        <v>0</v>
      </c>
      <c r="K383" s="59">
        <v>4251.0870844125748</v>
      </c>
      <c r="L383" s="59">
        <v>0</v>
      </c>
      <c r="M383" s="11">
        <v>0.87164229154586792</v>
      </c>
      <c r="N383" s="11">
        <v>0.7257506251335144</v>
      </c>
      <c r="O383" s="11">
        <v>0.30183085799217224</v>
      </c>
      <c r="Q383" s="59">
        <v>15.05914140692135</v>
      </c>
      <c r="R383" s="78">
        <v>486.58308831512267</v>
      </c>
      <c r="S383" s="78">
        <v>15.114774902584506</v>
      </c>
      <c r="T383" s="78">
        <v>603.82618360750257</v>
      </c>
      <c r="U383" s="78">
        <v>5.563349566315523E-2</v>
      </c>
      <c r="V383" s="78">
        <v>117.24309529237991</v>
      </c>
      <c r="Y383" s="28"/>
      <c r="Z383" s="28"/>
      <c r="AK383" s="28"/>
      <c r="AS383" s="28"/>
      <c r="AT383" s="28"/>
    </row>
    <row r="384" spans="3:46" x14ac:dyDescent="0.15">
      <c r="C384" s="11">
        <v>7.4275434017181396E-3</v>
      </c>
      <c r="D384" s="11">
        <v>2.8958320617675781E-3</v>
      </c>
      <c r="E384" s="11">
        <v>0.48065412837281474</v>
      </c>
      <c r="F384" s="11">
        <v>0</v>
      </c>
      <c r="G384" s="11">
        <v>4.5412391424179077E-2</v>
      </c>
      <c r="H384" s="40">
        <v>5.6914131345744913E-4</v>
      </c>
      <c r="I384" s="40">
        <v>1.5114560241161727</v>
      </c>
      <c r="J384" s="59">
        <v>0</v>
      </c>
      <c r="K384" s="59">
        <v>4582.9836744815111</v>
      </c>
      <c r="L384" s="59">
        <v>0</v>
      </c>
      <c r="M384" s="11">
        <v>0.8632129430770874</v>
      </c>
      <c r="N384" s="11">
        <v>0.73341834545135498</v>
      </c>
      <c r="O384" s="11">
        <v>0.29166769981384277</v>
      </c>
      <c r="Q384" s="59">
        <v>15.035989413379692</v>
      </c>
      <c r="R384" s="78">
        <v>550.99627162402271</v>
      </c>
      <c r="S384" s="78">
        <v>15.086153293837725</v>
      </c>
      <c r="T384" s="78">
        <v>655.59543618036128</v>
      </c>
      <c r="U384" s="78">
        <v>5.0163880458033105E-2</v>
      </c>
      <c r="V384" s="78">
        <v>104.59916455633856</v>
      </c>
      <c r="Y384" s="28"/>
      <c r="Z384" s="28"/>
      <c r="AK384" s="28"/>
      <c r="AS384" s="28"/>
      <c r="AT384" s="28"/>
    </row>
    <row r="385" spans="3:46" x14ac:dyDescent="0.15">
      <c r="C385" s="11">
        <v>8.3021372556686401E-3</v>
      </c>
      <c r="D385" s="11">
        <v>3.2294750213623047E-2</v>
      </c>
      <c r="E385" s="11">
        <v>0.17324049852167256</v>
      </c>
      <c r="F385" s="11">
        <v>0</v>
      </c>
      <c r="G385" s="11">
        <v>2.1520525217056274E-2</v>
      </c>
      <c r="H385" s="40">
        <v>4.3381532305705219E-4</v>
      </c>
      <c r="I385" s="40">
        <v>1.4962015636329518</v>
      </c>
      <c r="J385" s="59">
        <v>0</v>
      </c>
      <c r="K385" s="59">
        <v>8896.850049495697</v>
      </c>
      <c r="L385" s="59">
        <v>0</v>
      </c>
      <c r="M385" s="11">
        <v>0.87663775682449341</v>
      </c>
      <c r="N385" s="11">
        <v>0.78609609603881836</v>
      </c>
      <c r="O385" s="11">
        <v>0.35281991958618164</v>
      </c>
      <c r="Q385" s="59">
        <v>15.293097369379804</v>
      </c>
      <c r="R385" s="78">
        <v>589.72133613403923</v>
      </c>
      <c r="S385" s="78">
        <v>15.344881996941485</v>
      </c>
      <c r="T385" s="78">
        <v>613.51478670925314</v>
      </c>
      <c r="U385" s="78">
        <v>5.1784627561680452E-2</v>
      </c>
      <c r="V385" s="78">
        <v>23.79345057521391</v>
      </c>
      <c r="Y385" s="28"/>
      <c r="Z385" s="28"/>
      <c r="AK385" s="28"/>
      <c r="AS385" s="28"/>
      <c r="AT385" s="28"/>
    </row>
    <row r="386" spans="3:46" x14ac:dyDescent="0.15">
      <c r="C386" s="11">
        <v>1.3111159205436707E-2</v>
      </c>
      <c r="D386" s="11">
        <v>1.4752119779586792E-2</v>
      </c>
      <c r="E386" s="11">
        <v>0.5120455968388401</v>
      </c>
      <c r="F386" s="11">
        <v>0</v>
      </c>
      <c r="G386" s="11">
        <v>5.5855721235275269E-2</v>
      </c>
      <c r="H386" s="40">
        <v>6.4740547501573572E-4</v>
      </c>
      <c r="I386" s="40">
        <v>1.3160856949399484</v>
      </c>
      <c r="J386" s="59">
        <v>0</v>
      </c>
      <c r="K386" s="59">
        <v>5015.6586803495884</v>
      </c>
      <c r="L386" s="59">
        <v>0</v>
      </c>
      <c r="M386" s="11">
        <v>0.80014538764953613</v>
      </c>
      <c r="N386" s="11">
        <v>0.79148274660110474</v>
      </c>
      <c r="O386" s="11">
        <v>0.25462257862091064</v>
      </c>
      <c r="Q386" s="59">
        <v>13.915926488346726</v>
      </c>
      <c r="R386" s="78">
        <v>510.38980915905654</v>
      </c>
      <c r="S386" s="78">
        <v>13.931470888637936</v>
      </c>
      <c r="T386" s="78">
        <v>639.07977518745247</v>
      </c>
      <c r="U386" s="78">
        <v>1.5544400291210181E-2</v>
      </c>
      <c r="V386" s="78">
        <v>128.68996602839593</v>
      </c>
      <c r="Y386" s="28"/>
      <c r="Z386" s="28"/>
      <c r="AK386" s="28"/>
      <c r="AS386" s="28"/>
      <c r="AT386" s="28"/>
    </row>
    <row r="387" spans="3:46" x14ac:dyDescent="0.15">
      <c r="C387" s="11">
        <v>6.6604167222976685E-3</v>
      </c>
      <c r="D387" s="11">
        <v>9.3066394329071045E-3</v>
      </c>
      <c r="E387" s="11">
        <v>0.16431656181174292</v>
      </c>
      <c r="F387" s="11">
        <v>0</v>
      </c>
      <c r="G387" s="11">
        <v>2.260163426399231E-2</v>
      </c>
      <c r="H387" s="40">
        <v>4.2710415516269593E-4</v>
      </c>
      <c r="I387" s="40">
        <v>1.5057151657518191</v>
      </c>
      <c r="J387" s="59">
        <v>0</v>
      </c>
      <c r="K387" s="59">
        <v>3649.354912340641</v>
      </c>
      <c r="L387" s="59">
        <v>0</v>
      </c>
      <c r="M387" s="11">
        <v>0.89144241809844971</v>
      </c>
      <c r="N387" s="11">
        <v>0.83970928192138672</v>
      </c>
      <c r="O387" s="11">
        <v>0.26832771301269531</v>
      </c>
      <c r="Q387" s="59">
        <v>15.593088719913171</v>
      </c>
      <c r="R387" s="78">
        <v>476.19464420481836</v>
      </c>
      <c r="S387" s="78">
        <v>15.633106548876194</v>
      </c>
      <c r="T387" s="78">
        <v>592.75464543493308</v>
      </c>
      <c r="U387" s="78">
        <v>4.0017828963023305E-2</v>
      </c>
      <c r="V387" s="78">
        <v>116.56000123011472</v>
      </c>
      <c r="Y387" s="28"/>
      <c r="Z387" s="28"/>
      <c r="AK387" s="28"/>
      <c r="AS387" s="28"/>
      <c r="AT387" s="28"/>
    </row>
    <row r="388" spans="3:46" x14ac:dyDescent="0.15">
      <c r="C388" s="11">
        <v>1.0637551546096802E-2</v>
      </c>
      <c r="D388" s="11">
        <v>2.1413087844848633E-2</v>
      </c>
      <c r="E388" s="11">
        <v>0.28020322845673173</v>
      </c>
      <c r="F388" s="11">
        <v>0</v>
      </c>
      <c r="G388" s="11">
        <v>5.5960714817047119E-2</v>
      </c>
      <c r="H388" s="40">
        <v>6.0278862554083467E-4</v>
      </c>
      <c r="I388" s="40">
        <v>1.3511038488969582</v>
      </c>
      <c r="J388" s="59">
        <v>0</v>
      </c>
      <c r="K388" s="59">
        <v>7749.2557466030121</v>
      </c>
      <c r="L388" s="59">
        <v>0</v>
      </c>
      <c r="M388" s="11">
        <v>0.78575873374938965</v>
      </c>
      <c r="N388" s="11">
        <v>0.75593328475952148</v>
      </c>
      <c r="O388" s="11">
        <v>0.26742249727249146</v>
      </c>
      <c r="Q388" s="59">
        <v>13.691391260249985</v>
      </c>
      <c r="R388" s="78">
        <v>579.3471512980741</v>
      </c>
      <c r="S388" s="78">
        <v>13.720210363345959</v>
      </c>
      <c r="T388" s="78">
        <v>631.58997719805348</v>
      </c>
      <c r="U388" s="78">
        <v>2.8819103095974796E-2</v>
      </c>
      <c r="V388" s="78">
        <v>52.24282589997938</v>
      </c>
      <c r="Y388" s="28"/>
      <c r="Z388" s="28"/>
      <c r="AK388" s="28"/>
      <c r="AS388" s="28"/>
      <c r="AT388" s="28"/>
    </row>
    <row r="389" spans="3:46" x14ac:dyDescent="0.15">
      <c r="C389" s="11">
        <v>2.1557211875915527E-2</v>
      </c>
      <c r="D389" s="11">
        <v>4.4808089733123779E-3</v>
      </c>
      <c r="E389" s="11">
        <v>0.25278123927103041</v>
      </c>
      <c r="F389" s="11">
        <v>0</v>
      </c>
      <c r="G389" s="11">
        <v>6.7769169807434082E-2</v>
      </c>
      <c r="H389" s="40">
        <v>5.7565660242400469E-4</v>
      </c>
      <c r="I389" s="40">
        <v>1.424933333220241</v>
      </c>
      <c r="J389" s="59">
        <v>0</v>
      </c>
      <c r="K389" s="59">
        <v>9287.1114611625671</v>
      </c>
      <c r="L389" s="59">
        <v>0</v>
      </c>
      <c r="M389" s="11">
        <v>0.85024923086166382</v>
      </c>
      <c r="N389" s="11">
        <v>0.8120582103729248</v>
      </c>
      <c r="O389" s="11">
        <v>0.27148723602294922</v>
      </c>
      <c r="Q389" s="59">
        <v>14.645192117636318</v>
      </c>
      <c r="R389" s="78">
        <v>669.00186103555143</v>
      </c>
      <c r="S389" s="78">
        <v>14.681926676378136</v>
      </c>
      <c r="T389" s="78">
        <v>649.62756799367207</v>
      </c>
      <c r="U389" s="78">
        <v>3.6734558741818191E-2</v>
      </c>
      <c r="V389" s="78">
        <v>-19.374293041879355</v>
      </c>
      <c r="Y389" s="28"/>
      <c r="Z389" s="28"/>
      <c r="AK389" s="28"/>
      <c r="AS389" s="28"/>
      <c r="AT389" s="28"/>
    </row>
    <row r="390" spans="3:46" x14ac:dyDescent="0.15">
      <c r="C390" s="11">
        <v>2.786487340927124E-3</v>
      </c>
      <c r="D390" s="11">
        <v>1.2345373630523682E-2</v>
      </c>
      <c r="E390" s="11">
        <v>0.19839854791820077</v>
      </c>
      <c r="F390" s="11">
        <v>0</v>
      </c>
      <c r="G390" s="11">
        <v>4.0678620338439941E-2</v>
      </c>
      <c r="H390" s="40">
        <v>4.7694624483152968E-4</v>
      </c>
      <c r="I390" s="40">
        <v>1.5391948151109118</v>
      </c>
      <c r="J390" s="59">
        <v>0</v>
      </c>
      <c r="K390" s="59">
        <v>6468.0725336074829</v>
      </c>
      <c r="L390" s="59">
        <v>0</v>
      </c>
      <c r="M390" s="11">
        <v>0.79894828796386719</v>
      </c>
      <c r="N390" s="11">
        <v>0.72673499584197998</v>
      </c>
      <c r="O390" s="11">
        <v>0.31594234704971313</v>
      </c>
      <c r="Q390" s="59">
        <v>14.008764390128304</v>
      </c>
      <c r="R390" s="78">
        <v>591.54295012546731</v>
      </c>
      <c r="S390" s="78">
        <v>14.059895716533378</v>
      </c>
      <c r="T390" s="78">
        <v>619.04363505233596</v>
      </c>
      <c r="U390" s="78">
        <v>5.1131326405073452E-2</v>
      </c>
      <c r="V390" s="78">
        <v>27.500684926868644</v>
      </c>
      <c r="Y390" s="28"/>
      <c r="Z390" s="28"/>
      <c r="AK390" s="28"/>
      <c r="AS390" s="28"/>
      <c r="AT390" s="28"/>
    </row>
    <row r="391" spans="3:46" x14ac:dyDescent="0.15">
      <c r="C391" s="11">
        <v>5.3696870803833008E-2</v>
      </c>
      <c r="D391" s="11">
        <v>1.6350269317626953E-2</v>
      </c>
      <c r="E391" s="11">
        <v>0.25897157056970743</v>
      </c>
      <c r="F391" s="11">
        <v>0</v>
      </c>
      <c r="G391" s="11">
        <v>3.6184802651405334E-2</v>
      </c>
      <c r="H391" s="40">
        <v>5.1134691042525773E-4</v>
      </c>
      <c r="I391" s="40">
        <v>1.4938438922825255</v>
      </c>
      <c r="J391" s="59">
        <v>0</v>
      </c>
      <c r="K391" s="59">
        <v>6016.7117044329643</v>
      </c>
      <c r="L391" s="59">
        <v>0</v>
      </c>
      <c r="M391" s="11">
        <v>0.83738940954208374</v>
      </c>
      <c r="N391" s="11">
        <v>0.82930755615234375</v>
      </c>
      <c r="O391" s="11">
        <v>0.33526402711868286</v>
      </c>
      <c r="Q391" s="59">
        <v>13.960945093150425</v>
      </c>
      <c r="R391" s="78">
        <v>554.08495955788555</v>
      </c>
      <c r="S391" s="78">
        <v>13.98747928259159</v>
      </c>
      <c r="T391" s="78">
        <v>621.22143591396627</v>
      </c>
      <c r="U391" s="78">
        <v>2.6534189441164813E-2</v>
      </c>
      <c r="V391" s="78">
        <v>67.136476356080721</v>
      </c>
      <c r="Y391" s="28"/>
      <c r="Z391" s="28"/>
      <c r="AK391" s="28"/>
      <c r="AS391" s="28"/>
      <c r="AT391" s="28"/>
    </row>
    <row r="392" spans="3:46" x14ac:dyDescent="0.15">
      <c r="C392" s="11">
        <v>1.0604634881019592E-2</v>
      </c>
      <c r="D392" s="11">
        <v>1.4497190713882446E-2</v>
      </c>
      <c r="E392" s="11">
        <v>0.47236260739040764</v>
      </c>
      <c r="F392" s="11">
        <v>0</v>
      </c>
      <c r="G392" s="11">
        <v>4.5151233673095703E-2</v>
      </c>
      <c r="H392" s="40">
        <v>4.1660624489712886E-4</v>
      </c>
      <c r="I392" s="40">
        <v>1.4743437087787352</v>
      </c>
      <c r="J392" s="59">
        <v>0</v>
      </c>
      <c r="K392" s="59">
        <v>4842.2731924802065</v>
      </c>
      <c r="L392" s="59">
        <v>0</v>
      </c>
      <c r="M392" s="11">
        <v>0.85847672820091248</v>
      </c>
      <c r="N392" s="11">
        <v>0.74031567573547363</v>
      </c>
      <c r="O392" s="11">
        <v>0.28517097234725952</v>
      </c>
      <c r="Q392" s="59">
        <v>14.938031367919965</v>
      </c>
      <c r="R392" s="78">
        <v>503.14110766118915</v>
      </c>
      <c r="S392" s="78">
        <v>14.971939441037824</v>
      </c>
      <c r="T392" s="78">
        <v>631.0631041697003</v>
      </c>
      <c r="U392" s="78">
        <v>3.3908073117858706E-2</v>
      </c>
      <c r="V392" s="78">
        <v>127.92199650851114</v>
      </c>
      <c r="Y392" s="28"/>
      <c r="Z392" s="28"/>
      <c r="AK392" s="28"/>
      <c r="AS392" s="28"/>
      <c r="AT392" s="28"/>
    </row>
    <row r="393" spans="3:46" x14ac:dyDescent="0.15">
      <c r="C393" s="11">
        <v>2.5249123573303223E-2</v>
      </c>
      <c r="D393" s="11">
        <v>2.7447134256362915E-2</v>
      </c>
      <c r="E393" s="11">
        <v>0.13066792796512161</v>
      </c>
      <c r="F393" s="11">
        <v>0</v>
      </c>
      <c r="G393" s="11">
        <v>4.0016084909439087E-2</v>
      </c>
      <c r="H393" s="40">
        <v>5.032423736595781E-4</v>
      </c>
      <c r="I393" s="40">
        <v>1.5014918722654771</v>
      </c>
      <c r="J393" s="59">
        <v>0</v>
      </c>
      <c r="K393" s="59">
        <v>3808.9440204203129</v>
      </c>
      <c r="L393" s="59">
        <v>0</v>
      </c>
      <c r="M393" s="11">
        <v>0.87653064727783203</v>
      </c>
      <c r="N393" s="11">
        <v>0.79756057262420654</v>
      </c>
      <c r="O393" s="11">
        <v>0.30443984270095825</v>
      </c>
      <c r="Q393" s="59">
        <v>15.018578023947249</v>
      </c>
      <c r="R393" s="78">
        <v>500.80916923821758</v>
      </c>
      <c r="S393" s="78">
        <v>15.081936915287574</v>
      </c>
      <c r="T393" s="78">
        <v>593.26148456739293</v>
      </c>
      <c r="U393" s="78">
        <v>6.335889134032513E-2</v>
      </c>
      <c r="V393" s="78">
        <v>92.452315329175349</v>
      </c>
      <c r="Y393" s="28"/>
      <c r="Z393" s="28"/>
      <c r="AK393" s="28"/>
      <c r="AS393" s="28"/>
      <c r="AT393" s="28"/>
    </row>
    <row r="394" spans="3:46" x14ac:dyDescent="0.15">
      <c r="C394" s="11">
        <v>1.0194346308708191E-2</v>
      </c>
      <c r="D394" s="11">
        <v>1.3682782649993896E-2</v>
      </c>
      <c r="E394" s="11">
        <v>0.23381288933038474</v>
      </c>
      <c r="F394" s="11">
        <v>0</v>
      </c>
      <c r="G394" s="11">
        <v>4.8890113830566406E-2</v>
      </c>
      <c r="H394" s="40">
        <v>7.0132380743249826E-4</v>
      </c>
      <c r="I394" s="40">
        <v>1.3376488587346886</v>
      </c>
      <c r="J394" s="59">
        <v>0</v>
      </c>
      <c r="K394" s="59">
        <v>5250.2809558063745</v>
      </c>
      <c r="L394" s="59">
        <v>0</v>
      </c>
      <c r="M394" s="11">
        <v>0.79690122604370117</v>
      </c>
      <c r="N394" s="11">
        <v>0.73029720783233643</v>
      </c>
      <c r="O394" s="11">
        <v>0.331187903881073</v>
      </c>
      <c r="Q394" s="59">
        <v>13.882481041079881</v>
      </c>
      <c r="R394" s="78">
        <v>530.02491006332809</v>
      </c>
      <c r="S394" s="78">
        <v>13.920697906483275</v>
      </c>
      <c r="T394" s="78">
        <v>611.28126725065067</v>
      </c>
      <c r="U394" s="78">
        <v>3.8216865403393641E-2</v>
      </c>
      <c r="V394" s="78">
        <v>81.256357187322578</v>
      </c>
      <c r="Y394" s="28"/>
      <c r="Z394" s="28"/>
      <c r="AK394" s="28"/>
      <c r="AS394" s="28"/>
      <c r="AT394" s="28"/>
    </row>
    <row r="395" spans="3:46" x14ac:dyDescent="0.15">
      <c r="C395" s="11">
        <v>1.7697989940643311E-2</v>
      </c>
      <c r="D395" s="11">
        <v>2.2943407297134399E-2</v>
      </c>
      <c r="E395" s="11">
        <v>0.27324207025444952</v>
      </c>
      <c r="F395" s="11">
        <v>0</v>
      </c>
      <c r="G395" s="11">
        <v>5.1141023635864258E-2</v>
      </c>
      <c r="H395" s="40">
        <v>4.0462306932930039E-4</v>
      </c>
      <c r="I395" s="40">
        <v>1.5083748717402006</v>
      </c>
      <c r="J395" s="59">
        <v>0</v>
      </c>
      <c r="K395" s="59">
        <v>5993.5776516795158</v>
      </c>
      <c r="L395" s="59">
        <v>0</v>
      </c>
      <c r="M395" s="11">
        <v>0.86881256103515625</v>
      </c>
      <c r="N395" s="11">
        <v>0.67400646209716797</v>
      </c>
      <c r="O395" s="11">
        <v>0.28212273120880127</v>
      </c>
      <c r="Q395" s="59">
        <v>14.9779945644538</v>
      </c>
      <c r="R395" s="78">
        <v>541.44629208422623</v>
      </c>
      <c r="S395" s="78">
        <v>15.047855148761585</v>
      </c>
      <c r="T395" s="78">
        <v>619.88700528465802</v>
      </c>
      <c r="U395" s="78">
        <v>6.9860584307784634E-2</v>
      </c>
      <c r="V395" s="78">
        <v>78.440713200431787</v>
      </c>
      <c r="Y395" s="28"/>
      <c r="Z395" s="28"/>
      <c r="AK395" s="28"/>
      <c r="AS395" s="28"/>
      <c r="AT395" s="28"/>
    </row>
    <row r="396" spans="3:46" x14ac:dyDescent="0.15">
      <c r="C396" s="11">
        <v>3.0662983655929565E-2</v>
      </c>
      <c r="D396" s="11">
        <v>9.8771005868911743E-3</v>
      </c>
      <c r="E396" s="11">
        <v>0.19297849457303731</v>
      </c>
      <c r="F396" s="11">
        <v>0</v>
      </c>
      <c r="G396" s="11">
        <v>5.7524621486663818E-2</v>
      </c>
      <c r="H396" s="40">
        <v>3.5789919591100401E-4</v>
      </c>
      <c r="I396" s="40">
        <v>1.4633910194216664</v>
      </c>
      <c r="J396" s="59">
        <v>0</v>
      </c>
      <c r="K396" s="59">
        <v>4389.2604298889637</v>
      </c>
      <c r="L396" s="59">
        <v>0</v>
      </c>
      <c r="M396" s="11">
        <v>0.79244852066040039</v>
      </c>
      <c r="N396" s="11">
        <v>0.67897510528564453</v>
      </c>
      <c r="O396" s="11">
        <v>0.27294552326202393</v>
      </c>
      <c r="Q396" s="59">
        <v>13.518413011782812</v>
      </c>
      <c r="R396" s="78">
        <v>479.90960603956256</v>
      </c>
      <c r="S396" s="78">
        <v>13.558509862970819</v>
      </c>
      <c r="T396" s="78">
        <v>595.78453842328327</v>
      </c>
      <c r="U396" s="78">
        <v>4.0096851188007321E-2</v>
      </c>
      <c r="V396" s="78">
        <v>115.8749323837207</v>
      </c>
      <c r="Y396" s="28"/>
      <c r="Z396" s="28"/>
      <c r="AK396" s="28"/>
      <c r="AS396" s="28"/>
      <c r="AT396" s="28"/>
    </row>
    <row r="397" spans="3:46" x14ac:dyDescent="0.15">
      <c r="C397" s="11">
        <v>1.1893615126609802E-2</v>
      </c>
      <c r="D397" s="11">
        <v>2.2696524858474731E-2</v>
      </c>
      <c r="E397" s="11">
        <v>0.56034485593906358</v>
      </c>
      <c r="F397" s="11">
        <v>0</v>
      </c>
      <c r="G397" s="11">
        <v>2.6500225067138672E-2</v>
      </c>
      <c r="H397" s="40">
        <v>3.3218547357724489E-4</v>
      </c>
      <c r="I397" s="40">
        <v>1.4615864943126782</v>
      </c>
      <c r="J397" s="59">
        <v>0</v>
      </c>
      <c r="K397" s="59">
        <v>4136.1153125762939</v>
      </c>
      <c r="L397" s="59">
        <v>0</v>
      </c>
      <c r="M397" s="11">
        <v>0.85287988185882568</v>
      </c>
      <c r="N397" s="11">
        <v>0.72356188297271729</v>
      </c>
      <c r="O397" s="11">
        <v>0.27224421501159668</v>
      </c>
      <c r="Q397" s="59">
        <v>14.833442324273744</v>
      </c>
      <c r="R397" s="78">
        <v>459.01952919785498</v>
      </c>
      <c r="S397" s="78">
        <v>14.856218831666107</v>
      </c>
      <c r="T397" s="78">
        <v>615.66644999604409</v>
      </c>
      <c r="U397" s="78">
        <v>2.2776507392363143E-2</v>
      </c>
      <c r="V397" s="78">
        <v>156.64692079818911</v>
      </c>
      <c r="Y397" s="28"/>
      <c r="Z397" s="28"/>
      <c r="AK397" s="28"/>
      <c r="AS397" s="28"/>
      <c r="AT397" s="28"/>
    </row>
    <row r="398" spans="3:46" x14ac:dyDescent="0.15">
      <c r="C398" s="11">
        <v>1.2471660971641541E-2</v>
      </c>
      <c r="D398" s="11">
        <v>9.477466344833374E-3</v>
      </c>
      <c r="E398" s="11">
        <v>0.21495923472365883</v>
      </c>
      <c r="F398" s="11">
        <v>0</v>
      </c>
      <c r="G398" s="11">
        <v>8.6214303970336914E-2</v>
      </c>
      <c r="H398" s="40">
        <v>4.4918809311886711E-4</v>
      </c>
      <c r="I398" s="40">
        <v>1.4859227824711103</v>
      </c>
      <c r="J398" s="59">
        <v>0</v>
      </c>
      <c r="K398" s="59">
        <v>4720.8601608872414</v>
      </c>
      <c r="L398" s="59">
        <v>0</v>
      </c>
      <c r="M398" s="11">
        <v>0.83154952526092529</v>
      </c>
      <c r="N398" s="11">
        <v>0.73427146673202515</v>
      </c>
      <c r="O398" s="11">
        <v>0.2995375394821167</v>
      </c>
      <c r="Q398" s="59">
        <v>14.437526317980858</v>
      </c>
      <c r="R398" s="78">
        <v>535.46886516971563</v>
      </c>
      <c r="S398" s="78">
        <v>14.490180275721588</v>
      </c>
      <c r="T398" s="78">
        <v>609.8981787431552</v>
      </c>
      <c r="U398" s="78">
        <v>5.2653957740730561E-2</v>
      </c>
      <c r="V398" s="78">
        <v>74.429313573439572</v>
      </c>
      <c r="Y398" s="28"/>
      <c r="Z398" s="28"/>
      <c r="AK398" s="28"/>
      <c r="AS398" s="28"/>
      <c r="AT398" s="28"/>
    </row>
    <row r="399" spans="3:46" x14ac:dyDescent="0.15">
      <c r="C399" s="11">
        <v>2.3170322179794312E-2</v>
      </c>
      <c r="D399" s="11">
        <v>7.0025324821472168E-3</v>
      </c>
      <c r="E399" s="11">
        <v>0.5198970872843206</v>
      </c>
      <c r="F399" s="11">
        <v>0</v>
      </c>
      <c r="G399" s="11">
        <v>7.9152941703796387E-2</v>
      </c>
      <c r="H399" s="40">
        <v>4.1403178949847976E-4</v>
      </c>
      <c r="I399" s="40">
        <v>1.4791860423664103</v>
      </c>
      <c r="J399" s="59">
        <v>0</v>
      </c>
      <c r="K399" s="59">
        <v>6045.2939942479134</v>
      </c>
      <c r="L399" s="59">
        <v>0</v>
      </c>
      <c r="M399" s="11">
        <v>0.86439245939254761</v>
      </c>
      <c r="N399" s="11">
        <v>0.78212124109268188</v>
      </c>
      <c r="O399" s="11">
        <v>0.29205578565597534</v>
      </c>
      <c r="Q399" s="59">
        <v>14.857731990206121</v>
      </c>
      <c r="R399" s="78">
        <v>552.07532468170382</v>
      </c>
      <c r="S399" s="78">
        <v>14.884667053682966</v>
      </c>
      <c r="T399" s="78">
        <v>661.90862335782538</v>
      </c>
      <c r="U399" s="78">
        <v>2.6935063476845045E-2</v>
      </c>
      <c r="V399" s="78">
        <v>109.83329867612156</v>
      </c>
      <c r="Y399" s="28"/>
      <c r="Z399" s="28"/>
      <c r="AK399" s="28"/>
      <c r="AS399" s="28"/>
      <c r="AT399" s="28"/>
    </row>
    <row r="400" spans="3:46" x14ac:dyDescent="0.15">
      <c r="C400" s="11">
        <v>1.7906740307807922E-2</v>
      </c>
      <c r="D400" s="11">
        <v>2.649843692779541E-3</v>
      </c>
      <c r="E400" s="11">
        <v>0.25427833846700965</v>
      </c>
      <c r="F400" s="11">
        <v>0</v>
      </c>
      <c r="G400" s="11">
        <v>6.2545239925384521E-2</v>
      </c>
      <c r="H400" s="40">
        <v>3.9132893635884569E-4</v>
      </c>
      <c r="I400" s="40">
        <v>1.4184722597664869</v>
      </c>
      <c r="J400" s="59">
        <v>0</v>
      </c>
      <c r="K400" s="59">
        <v>4409.4747863709927</v>
      </c>
      <c r="L400" s="59">
        <v>0</v>
      </c>
      <c r="M400" s="11">
        <v>0.8322405219078064</v>
      </c>
      <c r="N400" s="11">
        <v>0.76164990663528442</v>
      </c>
      <c r="O400" s="11">
        <v>0.28225195407867432</v>
      </c>
      <c r="Q400" s="59">
        <v>14.39861265756365</v>
      </c>
      <c r="R400" s="78">
        <v>480.1200453102735</v>
      </c>
      <c r="S400" s="78">
        <v>14.427194536786768</v>
      </c>
      <c r="T400" s="78">
        <v>601.13206293517919</v>
      </c>
      <c r="U400" s="78">
        <v>2.8581879223118278E-2</v>
      </c>
      <c r="V400" s="78">
        <v>121.0120176249057</v>
      </c>
      <c r="Y400" s="28"/>
      <c r="Z400" s="28"/>
      <c r="AK400" s="28"/>
      <c r="AS400" s="28"/>
      <c r="AT400" s="28"/>
    </row>
    <row r="401" spans="3:46" x14ac:dyDescent="0.15">
      <c r="C401" s="11">
        <v>1.7922431230545044E-2</v>
      </c>
      <c r="D401" s="11">
        <v>4.7406256198883057E-3</v>
      </c>
      <c r="E401" s="11">
        <v>0.34453901981199481</v>
      </c>
      <c r="F401" s="11">
        <v>0</v>
      </c>
      <c r="G401" s="11">
        <v>4.9477279186248779E-2</v>
      </c>
      <c r="H401" s="40">
        <v>6.4240813304314076E-4</v>
      </c>
      <c r="I401" s="40">
        <v>1.4449027428806711</v>
      </c>
      <c r="J401" s="59">
        <v>0</v>
      </c>
      <c r="K401" s="59">
        <v>4384.8226778209209</v>
      </c>
      <c r="L401" s="59">
        <v>0</v>
      </c>
      <c r="M401" s="11">
        <v>0.90005707740783691</v>
      </c>
      <c r="N401" s="11">
        <v>0.78536432981491089</v>
      </c>
      <c r="O401" s="11">
        <v>0.34313857555389404</v>
      </c>
      <c r="Q401" s="59">
        <v>15.528791228017207</v>
      </c>
      <c r="R401" s="78">
        <v>535.16075092810854</v>
      </c>
      <c r="S401" s="78">
        <v>15.583599203026612</v>
      </c>
      <c r="T401" s="78">
        <v>628.46160224022719</v>
      </c>
      <c r="U401" s="78">
        <v>5.4807975009405041E-2</v>
      </c>
      <c r="V401" s="78">
        <v>93.300851312118652</v>
      </c>
      <c r="Y401" s="28"/>
      <c r="Z401" s="28"/>
      <c r="AK401" s="28"/>
      <c r="AS401" s="28"/>
      <c r="AT401" s="28"/>
    </row>
    <row r="402" spans="3:46" x14ac:dyDescent="0.15">
      <c r="C402" s="11">
        <v>1.9165903329849243E-2</v>
      </c>
      <c r="D402" s="11">
        <v>4.8106908798217773E-3</v>
      </c>
      <c r="E402" s="11">
        <v>0.40786429807522473</v>
      </c>
      <c r="F402" s="11">
        <v>0</v>
      </c>
      <c r="G402" s="11">
        <v>2.0746082067489624E-2</v>
      </c>
      <c r="H402" s="40">
        <v>4.9550800150384195E-4</v>
      </c>
      <c r="I402" s="40">
        <v>1.3944224712446769</v>
      </c>
      <c r="J402" s="59">
        <v>0</v>
      </c>
      <c r="K402" s="59">
        <v>7444.3221092224121</v>
      </c>
      <c r="L402" s="59">
        <v>0</v>
      </c>
      <c r="M402" s="11">
        <v>0.89661622047424316</v>
      </c>
      <c r="N402" s="11">
        <v>0.70840322971343994</v>
      </c>
      <c r="O402" s="11">
        <v>0.29478728771209717</v>
      </c>
      <c r="Q402" s="59">
        <v>15.458954130892995</v>
      </c>
      <c r="R402" s="78">
        <v>531.57897993027484</v>
      </c>
      <c r="S402" s="78">
        <v>15.50299037066066</v>
      </c>
      <c r="T402" s="78">
        <v>635.68804369228621</v>
      </c>
      <c r="U402" s="78">
        <v>4.4036239767665464E-2</v>
      </c>
      <c r="V402" s="78">
        <v>104.10906376201137</v>
      </c>
      <c r="Y402" s="28"/>
      <c r="Z402" s="28"/>
      <c r="AK402" s="28"/>
      <c r="AS402" s="28"/>
      <c r="AT402" s="28"/>
    </row>
    <row r="403" spans="3:46" x14ac:dyDescent="0.15">
      <c r="C403" s="11">
        <v>2.4954259395599365E-2</v>
      </c>
      <c r="D403" s="11">
        <v>4.1702389717102051E-2</v>
      </c>
      <c r="E403" s="11">
        <v>0.25661386014178345</v>
      </c>
      <c r="F403" s="11">
        <v>0</v>
      </c>
      <c r="G403" s="11">
        <v>4.1319578886032104E-2</v>
      </c>
      <c r="H403" s="40">
        <v>3.9576684217056856E-4</v>
      </c>
      <c r="I403" s="40">
        <v>1.4873562065800652</v>
      </c>
      <c r="J403" s="59">
        <v>0</v>
      </c>
      <c r="K403" s="59">
        <v>4104.5667603611946</v>
      </c>
      <c r="L403" s="59">
        <v>0</v>
      </c>
      <c r="M403" s="11">
        <v>0.84493166208267212</v>
      </c>
      <c r="N403" s="11">
        <v>0.75680744647979736</v>
      </c>
      <c r="O403" s="11">
        <v>0.31276822090148926</v>
      </c>
      <c r="Q403" s="59">
        <v>14.491698856768506</v>
      </c>
      <c r="R403" s="78">
        <v>481.62324964277195</v>
      </c>
      <c r="S403" s="78">
        <v>14.536339276440062</v>
      </c>
      <c r="T403" s="78">
        <v>601.79906984214642</v>
      </c>
      <c r="U403" s="78">
        <v>4.464041967155552E-2</v>
      </c>
      <c r="V403" s="78">
        <v>120.17582019937447</v>
      </c>
      <c r="Y403" s="28"/>
      <c r="Z403" s="28"/>
      <c r="AK403" s="28"/>
      <c r="AS403" s="28"/>
      <c r="AT403" s="28"/>
    </row>
    <row r="404" spans="3:46" x14ac:dyDescent="0.15">
      <c r="C404" s="11">
        <v>8.1138759851455688E-3</v>
      </c>
      <c r="D404" s="11">
        <v>1.8488645553588867E-2</v>
      </c>
      <c r="E404" s="11">
        <v>0.61373498676477989</v>
      </c>
      <c r="F404" s="11">
        <v>0</v>
      </c>
      <c r="G404" s="11">
        <v>8.7579727172851562E-2</v>
      </c>
      <c r="H404" s="40">
        <v>4.420601977016989E-4</v>
      </c>
      <c r="I404" s="40">
        <v>1.3866551544276884</v>
      </c>
      <c r="J404" s="59">
        <v>0</v>
      </c>
      <c r="K404" s="59">
        <v>7421.0576713085175</v>
      </c>
      <c r="L404" s="59">
        <v>0</v>
      </c>
      <c r="M404" s="11">
        <v>0.85814237594604492</v>
      </c>
      <c r="N404" s="11">
        <v>0.72605979442596436</v>
      </c>
      <c r="O404" s="11">
        <v>0.32156831026077271</v>
      </c>
      <c r="Q404" s="59">
        <v>14.974166923285027</v>
      </c>
      <c r="R404" s="78">
        <v>559.81392175328301</v>
      </c>
      <c r="S404" s="78">
        <v>14.997377900228859</v>
      </c>
      <c r="T404" s="78">
        <v>681.3230462310222</v>
      </c>
      <c r="U404" s="78">
        <v>2.3210976943831341E-2</v>
      </c>
      <c r="V404" s="78">
        <v>121.50912447773919</v>
      </c>
      <c r="Y404" s="28"/>
      <c r="Z404" s="28"/>
      <c r="AK404" s="28"/>
      <c r="AS404" s="28"/>
      <c r="AT404" s="28"/>
    </row>
    <row r="405" spans="3:46" x14ac:dyDescent="0.15">
      <c r="C405" s="11">
        <v>1.5670627355575562E-2</v>
      </c>
      <c r="D405" s="11">
        <v>8.0473870038986206E-3</v>
      </c>
      <c r="E405" s="11">
        <v>0.49710014358661725</v>
      </c>
      <c r="F405" s="11">
        <v>0</v>
      </c>
      <c r="G405" s="11">
        <v>7.1507930755615234E-2</v>
      </c>
      <c r="H405" s="40">
        <v>3.4374157921962295E-4</v>
      </c>
      <c r="I405" s="40">
        <v>1.4674902044481153</v>
      </c>
      <c r="J405" s="59">
        <v>0</v>
      </c>
      <c r="K405" s="59">
        <v>5886.33818551898</v>
      </c>
      <c r="L405" s="59">
        <v>0</v>
      </c>
      <c r="M405" s="11">
        <v>0.88106375932693481</v>
      </c>
      <c r="N405" s="11">
        <v>0.77046865224838257</v>
      </c>
      <c r="O405" s="11">
        <v>0.28568655252456665</v>
      </c>
      <c r="Q405" s="59">
        <v>15.265898376178571</v>
      </c>
      <c r="R405" s="78">
        <v>515.0132434275904</v>
      </c>
      <c r="S405" s="78">
        <v>15.292299717190016</v>
      </c>
      <c r="T405" s="78">
        <v>639.60243395008717</v>
      </c>
      <c r="U405" s="78">
        <v>2.6401341011444757E-2</v>
      </c>
      <c r="V405" s="78">
        <v>124.58919052249678</v>
      </c>
      <c r="Y405" s="28"/>
      <c r="Z405" s="28"/>
      <c r="AK405" s="28"/>
      <c r="AS405" s="28"/>
      <c r="AT405" s="28"/>
    </row>
    <row r="406" spans="3:46" x14ac:dyDescent="0.15">
      <c r="C406" s="11">
        <v>2.099260687828064E-2</v>
      </c>
      <c r="D406" s="11">
        <v>1.5311136841773987E-2</v>
      </c>
      <c r="E406" s="11">
        <v>0.72021357393130925</v>
      </c>
      <c r="F406" s="11">
        <v>0</v>
      </c>
      <c r="G406" s="11">
        <v>4.8419028520584106E-2</v>
      </c>
      <c r="H406" s="40">
        <v>5.0064116804767887E-4</v>
      </c>
      <c r="I406" s="40">
        <v>1.4201346859352206</v>
      </c>
      <c r="J406" s="59">
        <v>0</v>
      </c>
      <c r="K406" s="59">
        <v>4410.5923734605312</v>
      </c>
      <c r="L406" s="59">
        <v>0</v>
      </c>
      <c r="M406" s="11">
        <v>0.87400513887405396</v>
      </c>
      <c r="N406" s="11">
        <v>0.73946833610534668</v>
      </c>
      <c r="O406" s="11">
        <v>0.24394869804382324</v>
      </c>
      <c r="Q406" s="59">
        <v>15.040262646682725</v>
      </c>
      <c r="R406" s="78">
        <v>496.46755872850093</v>
      </c>
      <c r="S406" s="78">
        <v>15.060567405012423</v>
      </c>
      <c r="T406" s="78">
        <v>653.179902549752</v>
      </c>
      <c r="U406" s="78">
        <v>2.0304758329697137E-2</v>
      </c>
      <c r="V406" s="78">
        <v>156.71234382125107</v>
      </c>
      <c r="Y406" s="28"/>
      <c r="Z406" s="28"/>
      <c r="AK406" s="28"/>
      <c r="AS406" s="28"/>
      <c r="AT406" s="28"/>
    </row>
    <row r="407" spans="3:46" x14ac:dyDescent="0.15">
      <c r="C407" s="11">
        <v>7.099345326423645E-3</v>
      </c>
      <c r="D407" s="11">
        <v>1.3065382838249207E-2</v>
      </c>
      <c r="E407" s="11">
        <v>0.19292812562174633</v>
      </c>
      <c r="F407" s="11">
        <v>0</v>
      </c>
      <c r="G407" s="11">
        <v>3.8874685764312744E-2</v>
      </c>
      <c r="H407" s="40">
        <v>4.2884718007549786E-4</v>
      </c>
      <c r="I407" s="40">
        <v>1.4231949633747238</v>
      </c>
      <c r="J407" s="59">
        <v>0</v>
      </c>
      <c r="K407" s="59">
        <v>6183.0133199691772</v>
      </c>
      <c r="L407" s="59">
        <v>0</v>
      </c>
      <c r="M407" s="11">
        <v>0.77927494049072266</v>
      </c>
      <c r="N407" s="11">
        <v>0.73839449882507324</v>
      </c>
      <c r="O407" s="11">
        <v>0.29281866550445557</v>
      </c>
      <c r="Q407" s="59">
        <v>13.634251528205528</v>
      </c>
      <c r="R407" s="78">
        <v>514.42164586301851</v>
      </c>
      <c r="S407" s="78">
        <v>13.660631815920542</v>
      </c>
      <c r="T407" s="78">
        <v>602.53808760473453</v>
      </c>
      <c r="U407" s="78">
        <v>2.6380287715014106E-2</v>
      </c>
      <c r="V407" s="78">
        <v>88.116441741716017</v>
      </c>
      <c r="Y407" s="28"/>
      <c r="Z407" s="28"/>
      <c r="AK407" s="28"/>
      <c r="AS407" s="28"/>
      <c r="AT407" s="28"/>
    </row>
    <row r="408" spans="3:46" x14ac:dyDescent="0.15">
      <c r="C408" s="11">
        <v>3.6097168922424316E-3</v>
      </c>
      <c r="D408" s="11">
        <v>4.6719759702682495E-3</v>
      </c>
      <c r="E408" s="11">
        <v>0.24103074374002847</v>
      </c>
      <c r="F408" s="11">
        <v>0</v>
      </c>
      <c r="G408" s="11">
        <v>5.403602123260498E-2</v>
      </c>
      <c r="H408" s="40">
        <v>5.7638616352471679E-4</v>
      </c>
      <c r="I408" s="40">
        <v>1.3925420006029741</v>
      </c>
      <c r="J408" s="59">
        <v>0</v>
      </c>
      <c r="K408" s="59">
        <v>4850.4816368222237</v>
      </c>
      <c r="L408" s="59">
        <v>0</v>
      </c>
      <c r="M408" s="11">
        <v>0.82154375314712524</v>
      </c>
      <c r="N408" s="11">
        <v>0.72911149263381958</v>
      </c>
      <c r="O408" s="11">
        <v>0.28409749269485474</v>
      </c>
      <c r="Q408" s="59">
        <v>14.400471536870615</v>
      </c>
      <c r="R408" s="78">
        <v>519.49256270287719</v>
      </c>
      <c r="S408" s="78">
        <v>14.444662656667099</v>
      </c>
      <c r="T408" s="78">
        <v>609.69222818661456</v>
      </c>
      <c r="U408" s="78">
        <v>4.4191119796483491E-2</v>
      </c>
      <c r="V408" s="78">
        <v>90.199665483737363</v>
      </c>
      <c r="Y408" s="28"/>
      <c r="Z408" s="28"/>
      <c r="AK408" s="28"/>
      <c r="AS408" s="28"/>
      <c r="AT408" s="28"/>
    </row>
    <row r="409" spans="3:46" x14ac:dyDescent="0.15">
      <c r="C409" s="11">
        <v>2.0841583609580994E-2</v>
      </c>
      <c r="D409" s="11">
        <v>1.9853934645652771E-2</v>
      </c>
      <c r="E409" s="11">
        <v>0.33931258521043989</v>
      </c>
      <c r="F409" s="11">
        <v>0</v>
      </c>
      <c r="G409" s="11">
        <v>1.9696235656738281E-2</v>
      </c>
      <c r="H409" s="40">
        <v>4.9698922275707655E-4</v>
      </c>
      <c r="I409" s="40">
        <v>1.374877395840614</v>
      </c>
      <c r="J409" s="59">
        <v>0</v>
      </c>
      <c r="K409" s="59">
        <v>5599.2905981838703</v>
      </c>
      <c r="L409" s="59">
        <v>0</v>
      </c>
      <c r="M409" s="11">
        <v>0.78990626335144043</v>
      </c>
      <c r="N409" s="11">
        <v>0.78302687406539917</v>
      </c>
      <c r="O409" s="11">
        <v>0.28360188007354736</v>
      </c>
      <c r="Q409" s="59">
        <v>13.638373134638314</v>
      </c>
      <c r="R409" s="78">
        <v>491.09863355242317</v>
      </c>
      <c r="S409" s="78">
        <v>13.653729130939517</v>
      </c>
      <c r="T409" s="78">
        <v>612.30046399134733</v>
      </c>
      <c r="U409" s="78">
        <v>1.5355996301202879E-2</v>
      </c>
      <c r="V409" s="78">
        <v>121.20183043892416</v>
      </c>
      <c r="Y409" s="28"/>
      <c r="Z409" s="28"/>
      <c r="AK409" s="28"/>
      <c r="AS409" s="28"/>
      <c r="AT409" s="28"/>
    </row>
    <row r="410" spans="3:46" x14ac:dyDescent="0.15">
      <c r="C410" s="11">
        <v>8.7439566850662231E-3</v>
      </c>
      <c r="D410" s="11">
        <v>1.2635976076126099E-2</v>
      </c>
      <c r="E410" s="11">
        <v>0.33403822491966717</v>
      </c>
      <c r="F410" s="11">
        <v>0</v>
      </c>
      <c r="G410" s="11">
        <v>6.6333353519439697E-2</v>
      </c>
      <c r="H410" s="40">
        <v>3.9706218149968274E-4</v>
      </c>
      <c r="I410" s="40">
        <v>1.4379400253689096</v>
      </c>
      <c r="J410" s="59">
        <v>0</v>
      </c>
      <c r="K410" s="59">
        <v>4532.8843407332897</v>
      </c>
      <c r="L410" s="59">
        <v>0</v>
      </c>
      <c r="M410" s="11">
        <v>0.89182198047637939</v>
      </c>
      <c r="N410" s="11">
        <v>0.875946044921875</v>
      </c>
      <c r="O410" s="11">
        <v>0.28798365592956543</v>
      </c>
      <c r="Q410" s="59">
        <v>15.580533527169582</v>
      </c>
      <c r="R410" s="78">
        <v>491.03669395318224</v>
      </c>
      <c r="S410" s="78">
        <v>15.603354106569105</v>
      </c>
      <c r="T410" s="78">
        <v>611.74813917560539</v>
      </c>
      <c r="U410" s="78">
        <v>2.2820579399523311E-2</v>
      </c>
      <c r="V410" s="78">
        <v>120.71144522242315</v>
      </c>
      <c r="Y410" s="28"/>
      <c r="Z410" s="28"/>
      <c r="AK410" s="28"/>
      <c r="AS410" s="28"/>
      <c r="AT410" s="28"/>
    </row>
    <row r="411" spans="3:46" x14ac:dyDescent="0.15">
      <c r="C411" s="11">
        <v>4.9106955528259277E-2</v>
      </c>
      <c r="D411" s="11">
        <v>2.0243450999259949E-2</v>
      </c>
      <c r="E411" s="11">
        <v>0.11367770598301016</v>
      </c>
      <c r="F411" s="11">
        <v>0</v>
      </c>
      <c r="G411" s="11">
        <v>3.096461296081543E-2</v>
      </c>
      <c r="H411" s="40">
        <v>4.7599652890398117E-4</v>
      </c>
      <c r="I411" s="40">
        <v>1.4860631446874637</v>
      </c>
      <c r="J411" s="59">
        <v>0</v>
      </c>
      <c r="K411" s="59">
        <v>7628.9288699626923</v>
      </c>
      <c r="L411" s="59">
        <v>0</v>
      </c>
      <c r="M411" s="11">
        <v>0.84478509426116943</v>
      </c>
      <c r="N411" s="11">
        <v>0.76643437147140503</v>
      </c>
      <c r="O411" s="11">
        <v>0.30784362554550171</v>
      </c>
      <c r="Q411" s="59">
        <v>14.130970603920835</v>
      </c>
      <c r="R411" s="78">
        <v>574.75851228723616</v>
      </c>
      <c r="S411" s="78">
        <v>14.182385994834673</v>
      </c>
      <c r="T411" s="78">
        <v>599.96227757666884</v>
      </c>
      <c r="U411" s="78">
        <v>5.1415390913838621E-2</v>
      </c>
      <c r="V411" s="78">
        <v>25.203765289432681</v>
      </c>
      <c r="Y411" s="28"/>
      <c r="Z411" s="28"/>
      <c r="AK411" s="28"/>
      <c r="AS411" s="28"/>
      <c r="AT411" s="28"/>
    </row>
    <row r="412" spans="3:46" x14ac:dyDescent="0.15">
      <c r="C412" s="11">
        <v>2.2289574146270752E-2</v>
      </c>
      <c r="D412" s="11">
        <v>1.9750788807868958E-2</v>
      </c>
      <c r="E412" s="11">
        <v>0.25285562148562674</v>
      </c>
      <c r="F412" s="11">
        <v>0</v>
      </c>
      <c r="G412" s="11">
        <v>4.2065262794494629E-2</v>
      </c>
      <c r="H412" s="40">
        <v>3.8902032498405352E-4</v>
      </c>
      <c r="I412" s="40">
        <v>1.5205074499213798</v>
      </c>
      <c r="J412" s="59">
        <v>0</v>
      </c>
      <c r="K412" s="59">
        <v>3054.8637732863426</v>
      </c>
      <c r="L412" s="59">
        <v>0</v>
      </c>
      <c r="M412" s="11">
        <v>0.83418554067611694</v>
      </c>
      <c r="N412" s="11">
        <v>0.75004798173904419</v>
      </c>
      <c r="O412" s="11">
        <v>0.2869231104850769</v>
      </c>
      <c r="Q412" s="59">
        <v>14.348025406019236</v>
      </c>
      <c r="R412" s="78">
        <v>465.41428209404268</v>
      </c>
      <c r="S412" s="78">
        <v>14.39127433019401</v>
      </c>
      <c r="T412" s="78">
        <v>597.33649558887316</v>
      </c>
      <c r="U412" s="78">
        <v>4.3248924174774217E-2</v>
      </c>
      <c r="V412" s="78">
        <v>131.92221349483049</v>
      </c>
      <c r="Y412" s="28"/>
      <c r="Z412" s="28"/>
      <c r="AK412" s="28"/>
      <c r="AS412" s="28"/>
      <c r="AT412" s="28"/>
    </row>
    <row r="413" spans="3:46" x14ac:dyDescent="0.15">
      <c r="C413" s="11">
        <v>2.1782338619232178E-2</v>
      </c>
      <c r="D413" s="11">
        <v>2.5964975357055664E-2</v>
      </c>
      <c r="E413" s="11">
        <v>0.33966169088154569</v>
      </c>
      <c r="F413" s="11">
        <v>0</v>
      </c>
      <c r="G413" s="11">
        <v>3.1976997852325439E-2</v>
      </c>
      <c r="H413" s="40">
        <v>3.8593490861586565E-4</v>
      </c>
      <c r="I413" s="40">
        <v>1.4983974871752268</v>
      </c>
      <c r="J413" s="59">
        <v>0</v>
      </c>
      <c r="K413" s="59">
        <v>5588.4988978505135</v>
      </c>
      <c r="L413" s="59">
        <v>0</v>
      </c>
      <c r="M413" s="11">
        <v>0.80406320095062256</v>
      </c>
      <c r="N413" s="11">
        <v>0.7402883768081665</v>
      </c>
      <c r="O413" s="11">
        <v>0.31392920017242432</v>
      </c>
      <c r="Q413" s="59">
        <v>13.847293210199535</v>
      </c>
      <c r="R413" s="78">
        <v>509.40178708362072</v>
      </c>
      <c r="S413" s="78">
        <v>13.877418825699767</v>
      </c>
      <c r="T413" s="78">
        <v>618.69343125730279</v>
      </c>
      <c r="U413" s="78">
        <v>3.0125615500232072E-2</v>
      </c>
      <c r="V413" s="78">
        <v>109.29164417368207</v>
      </c>
      <c r="Y413" s="28"/>
      <c r="Z413" s="28"/>
      <c r="AK413" s="28"/>
      <c r="AS413" s="28"/>
      <c r="AT413" s="28"/>
    </row>
    <row r="414" spans="3:46" x14ac:dyDescent="0.15">
      <c r="C414" s="11">
        <v>9.8756253719329834E-3</v>
      </c>
      <c r="D414" s="11">
        <v>1.3811379671096802E-2</v>
      </c>
      <c r="E414" s="11">
        <v>0.30495362351882027</v>
      </c>
      <c r="F414" s="11">
        <v>0</v>
      </c>
      <c r="G414" s="11">
        <v>5.7870149612426758E-2</v>
      </c>
      <c r="H414" s="40">
        <v>6.0063017031321384E-4</v>
      </c>
      <c r="I414" s="40">
        <v>1.3955495933835071</v>
      </c>
      <c r="J414" s="59">
        <v>0</v>
      </c>
      <c r="K414" s="59">
        <v>8162.4835729598999</v>
      </c>
      <c r="L414" s="59">
        <v>0</v>
      </c>
      <c r="M414" s="11">
        <v>0.80725419521331787</v>
      </c>
      <c r="N414" s="11">
        <v>0.71472334861755371</v>
      </c>
      <c r="O414" s="11">
        <v>0.28226602077484131</v>
      </c>
      <c r="Q414" s="59">
        <v>14.053985734691935</v>
      </c>
      <c r="R414" s="78">
        <v>617.58043536501862</v>
      </c>
      <c r="S414" s="78">
        <v>14.098279207217438</v>
      </c>
      <c r="T414" s="78">
        <v>648.14452546754899</v>
      </c>
      <c r="U414" s="78">
        <v>4.4293472525502864E-2</v>
      </c>
      <c r="V414" s="78">
        <v>30.564090102530372</v>
      </c>
      <c r="Y414" s="28"/>
      <c r="Z414" s="28"/>
      <c r="AK414" s="28"/>
      <c r="AS414" s="28"/>
      <c r="AT414" s="28"/>
    </row>
    <row r="415" spans="3:46" x14ac:dyDescent="0.15">
      <c r="C415" s="11">
        <v>2.9011189937591553E-2</v>
      </c>
      <c r="D415" s="11">
        <v>8.686065673828125E-3</v>
      </c>
      <c r="E415" s="11">
        <v>0.19477044836249191</v>
      </c>
      <c r="F415" s="11">
        <v>0</v>
      </c>
      <c r="G415" s="11">
        <v>4.5445919036865234E-2</v>
      </c>
      <c r="H415" s="40">
        <v>3.4431630056925769E-4</v>
      </c>
      <c r="I415" s="40">
        <v>1.5898312356508204</v>
      </c>
      <c r="J415" s="59">
        <v>0</v>
      </c>
      <c r="K415" s="59">
        <v>8005.7885497808456</v>
      </c>
      <c r="L415" s="59">
        <v>0</v>
      </c>
      <c r="M415" s="11">
        <v>0.87279289960861206</v>
      </c>
      <c r="N415" s="11">
        <v>0.71888828277587891</v>
      </c>
      <c r="O415" s="11">
        <v>0.29189449548721313</v>
      </c>
      <c r="Q415" s="59">
        <v>14.884694187411441</v>
      </c>
      <c r="R415" s="78">
        <v>599.21740325449025</v>
      </c>
      <c r="S415" s="78">
        <v>14.952533220285735</v>
      </c>
      <c r="T415" s="78">
        <v>619.71980110842378</v>
      </c>
      <c r="U415" s="78">
        <v>6.7839032874294602E-2</v>
      </c>
      <c r="V415" s="78">
        <v>20.50239785393353</v>
      </c>
      <c r="Y415" s="28"/>
      <c r="Z415" s="28"/>
      <c r="AK415" s="28"/>
      <c r="AS415" s="28"/>
      <c r="AT415" s="28"/>
    </row>
    <row r="416" spans="3:46" x14ac:dyDescent="0.15">
      <c r="C416" s="11">
        <v>1.9615665078163147E-2</v>
      </c>
      <c r="D416" s="11">
        <v>9.3860477209091187E-3</v>
      </c>
      <c r="E416" s="11">
        <v>0.25489329859445709</v>
      </c>
      <c r="F416" s="11">
        <v>0</v>
      </c>
      <c r="G416" s="11">
        <v>3.505513072013855E-2</v>
      </c>
      <c r="H416" s="40">
        <v>3.6803769482103381E-4</v>
      </c>
      <c r="I416" s="40">
        <v>1.5049615856561545</v>
      </c>
      <c r="J416" s="59">
        <v>0</v>
      </c>
      <c r="K416" s="59">
        <v>2593.7147438526154</v>
      </c>
      <c r="L416" s="59">
        <v>0</v>
      </c>
      <c r="M416" s="11">
        <v>0.85683292150497437</v>
      </c>
      <c r="N416" s="11">
        <v>0.7568398118019104</v>
      </c>
      <c r="O416" s="11">
        <v>0.32565826177597046</v>
      </c>
      <c r="Q416" s="59">
        <v>14.785105265985845</v>
      </c>
      <c r="R416" s="78">
        <v>447.27165779236373</v>
      </c>
      <c r="S416" s="78">
        <v>14.824192428930257</v>
      </c>
      <c r="T416" s="78">
        <v>592.76729844448141</v>
      </c>
      <c r="U416" s="78">
        <v>3.9087162944412057E-2</v>
      </c>
      <c r="V416" s="78">
        <v>145.49564065211769</v>
      </c>
      <c r="Y416" s="28"/>
      <c r="Z416" s="28"/>
      <c r="AK416" s="28"/>
      <c r="AS416" s="28"/>
      <c r="AT416" s="28"/>
    </row>
    <row r="417" spans="3:46" x14ac:dyDescent="0.15">
      <c r="C417" s="11">
        <v>2.4277538061141968E-2</v>
      </c>
      <c r="D417" s="11">
        <v>1.3584911823272705E-2</v>
      </c>
      <c r="E417" s="11">
        <v>0.58962833376949642</v>
      </c>
      <c r="F417" s="11">
        <v>0</v>
      </c>
      <c r="G417" s="11">
        <v>6.7342519760131836E-2</v>
      </c>
      <c r="H417" s="40">
        <v>3.6749672286857753E-4</v>
      </c>
      <c r="I417" s="40">
        <v>1.4944213125619303</v>
      </c>
      <c r="J417" s="59">
        <v>0</v>
      </c>
      <c r="K417" s="59">
        <v>5914.1707606613636</v>
      </c>
      <c r="L417" s="59">
        <v>0</v>
      </c>
      <c r="M417" s="11">
        <v>0.80270636081695557</v>
      </c>
      <c r="N417" s="11">
        <v>0.66318988800048828</v>
      </c>
      <c r="O417" s="11">
        <v>0.27374279499053955</v>
      </c>
      <c r="Q417" s="59">
        <v>13.768577390193082</v>
      </c>
      <c r="R417" s="78">
        <v>530.26515182585251</v>
      </c>
      <c r="S417" s="78">
        <v>13.795283291841701</v>
      </c>
      <c r="T417" s="78">
        <v>659.91817417562311</v>
      </c>
      <c r="U417" s="78">
        <v>2.6705901648618635E-2</v>
      </c>
      <c r="V417" s="78">
        <v>129.65302234977059</v>
      </c>
      <c r="Y417" s="28"/>
      <c r="Z417" s="28"/>
      <c r="AK417" s="28"/>
      <c r="AS417" s="28"/>
      <c r="AT417" s="28"/>
    </row>
    <row r="418" spans="3:46" x14ac:dyDescent="0.15">
      <c r="C418" s="11">
        <v>2.8348743915557861E-2</v>
      </c>
      <c r="D418" s="11">
        <v>2.0501911640167236E-3</v>
      </c>
      <c r="E418" s="11">
        <v>0.29056699600278169</v>
      </c>
      <c r="F418" s="11">
        <v>0</v>
      </c>
      <c r="G418" s="11">
        <v>3.4087717533111572E-2</v>
      </c>
      <c r="H418" s="40">
        <v>3.0735027784316375E-4</v>
      </c>
      <c r="I418" s="40">
        <v>1.5174161952369978</v>
      </c>
      <c r="J418" s="59">
        <v>0</v>
      </c>
      <c r="K418" s="59">
        <v>3242.7022233605385</v>
      </c>
      <c r="L418" s="59">
        <v>0</v>
      </c>
      <c r="M418" s="11">
        <v>0.90295791625976562</v>
      </c>
      <c r="N418" s="11">
        <v>0.77868562936782837</v>
      </c>
      <c r="O418" s="11">
        <v>0.32242345809936523</v>
      </c>
      <c r="Q418" s="59">
        <v>15.446056818745134</v>
      </c>
      <c r="R418" s="78">
        <v>451.12052589583197</v>
      </c>
      <c r="S418" s="78">
        <v>15.482223991356395</v>
      </c>
      <c r="T418" s="78">
        <v>595.78906374164012</v>
      </c>
      <c r="U418" s="78">
        <v>3.6167172611261122E-2</v>
      </c>
      <c r="V418" s="78">
        <v>144.66853784580815</v>
      </c>
      <c r="Y418" s="28"/>
      <c r="Z418" s="28"/>
      <c r="AK418" s="28"/>
      <c r="AS418" s="28"/>
      <c r="AT418" s="28"/>
    </row>
    <row r="419" spans="3:46" x14ac:dyDescent="0.15">
      <c r="C419" s="11">
        <v>2.5679349899291992E-2</v>
      </c>
      <c r="D419" s="11">
        <v>7.8074634075164795E-3</v>
      </c>
      <c r="E419" s="11">
        <v>0.18386429949727576</v>
      </c>
      <c r="F419" s="11">
        <v>0</v>
      </c>
      <c r="G419" s="11">
        <v>1.6178756952285767E-2</v>
      </c>
      <c r="H419" s="40">
        <v>3.7322903769131165E-4</v>
      </c>
      <c r="I419" s="40">
        <v>1.5697158090761374</v>
      </c>
      <c r="J419" s="59">
        <v>0</v>
      </c>
      <c r="K419" s="59">
        <v>2653.4125208854675</v>
      </c>
      <c r="L419" s="59">
        <v>0</v>
      </c>
      <c r="M419" s="11">
        <v>0.85840335488319397</v>
      </c>
      <c r="N419" s="11">
        <v>0.71004605293273926</v>
      </c>
      <c r="O419" s="11">
        <v>0.25875252485275269</v>
      </c>
      <c r="Q419" s="59">
        <v>14.692420865300688</v>
      </c>
      <c r="R419" s="78">
        <v>453.48236675831146</v>
      </c>
      <c r="S419" s="78">
        <v>14.757940775193747</v>
      </c>
      <c r="T419" s="78">
        <v>590.15357310406182</v>
      </c>
      <c r="U419" s="78">
        <v>6.5519909893058781E-2</v>
      </c>
      <c r="V419" s="78">
        <v>136.67120634575036</v>
      </c>
      <c r="Y419" s="28"/>
      <c r="Z419" s="28"/>
      <c r="AK419" s="28"/>
      <c r="AS419" s="28"/>
      <c r="AT419" s="28"/>
    </row>
    <row r="420" spans="3:46" x14ac:dyDescent="0.15">
      <c r="C420" s="11">
        <v>1.8848240375518799E-2</v>
      </c>
      <c r="D420" s="11">
        <v>2.1506443619728088E-2</v>
      </c>
      <c r="E420" s="11">
        <v>0.15738306625999893</v>
      </c>
      <c r="F420" s="11">
        <v>0</v>
      </c>
      <c r="G420" s="11">
        <v>5.5564701557159424E-2</v>
      </c>
      <c r="H420" s="40">
        <v>3.8798148667956733E-4</v>
      </c>
      <c r="I420" s="40">
        <v>1.4520285686085659</v>
      </c>
      <c r="J420" s="59">
        <v>0</v>
      </c>
      <c r="K420" s="59">
        <v>4622.284322977066</v>
      </c>
      <c r="L420" s="59">
        <v>0</v>
      </c>
      <c r="M420" s="11">
        <v>0.85848551988601685</v>
      </c>
      <c r="N420" s="11">
        <v>0.74789470434188843</v>
      </c>
      <c r="O420" s="11">
        <v>0.23054122924804688</v>
      </c>
      <c r="Q420" s="59">
        <v>14.818294325285052</v>
      </c>
      <c r="R420" s="78">
        <v>488.70072008684093</v>
      </c>
      <c r="S420" s="78">
        <v>14.86854809102727</v>
      </c>
      <c r="T420" s="78">
        <v>594.10614803208296</v>
      </c>
      <c r="U420" s="78">
        <v>5.0253765742217738E-2</v>
      </c>
      <c r="V420" s="78">
        <v>105.40542794524202</v>
      </c>
      <c r="Y420" s="28"/>
      <c r="Z420" s="28"/>
      <c r="AK420" s="28"/>
      <c r="AS420" s="28"/>
      <c r="AT420" s="28"/>
    </row>
    <row r="421" spans="3:46" x14ac:dyDescent="0.15">
      <c r="C421" s="11">
        <v>2.1384000778198242E-2</v>
      </c>
      <c r="D421" s="11">
        <v>4.1842937469482422E-2</v>
      </c>
      <c r="E421" s="11">
        <v>0.15364311203355457</v>
      </c>
      <c r="F421" s="11">
        <v>0</v>
      </c>
      <c r="G421" s="11">
        <v>4.0347397327423096E-2</v>
      </c>
      <c r="H421" s="40">
        <v>4.913832554261882E-4</v>
      </c>
      <c r="I421" s="40">
        <v>1.5201887417873126</v>
      </c>
      <c r="J421" s="59">
        <v>0</v>
      </c>
      <c r="K421" s="59">
        <v>6188.8527125120163</v>
      </c>
      <c r="L421" s="59">
        <v>0</v>
      </c>
      <c r="M421" s="11">
        <v>0.85129949450492859</v>
      </c>
      <c r="N421" s="11">
        <v>0.7712562084197998</v>
      </c>
      <c r="O421" s="11">
        <v>0.23305654525756836</v>
      </c>
      <c r="Q421" s="59">
        <v>14.63105238245528</v>
      </c>
      <c r="R421" s="78">
        <v>573.14400655060933</v>
      </c>
      <c r="S421" s="78">
        <v>14.702139407769144</v>
      </c>
      <c r="T421" s="78">
        <v>607.13458146303321</v>
      </c>
      <c r="U421" s="78">
        <v>7.108702531386335E-2</v>
      </c>
      <c r="V421" s="78">
        <v>33.990574912423881</v>
      </c>
      <c r="Y421" s="28"/>
      <c r="Z421" s="28"/>
      <c r="AK421" s="28"/>
      <c r="AS421" s="28"/>
      <c r="AT421" s="28"/>
    </row>
    <row r="422" spans="3:46" x14ac:dyDescent="0.15">
      <c r="C422" s="11">
        <v>2.5417506694793701E-2</v>
      </c>
      <c r="D422" s="11">
        <v>3.4337341785430908E-2</v>
      </c>
      <c r="E422" s="11">
        <v>0.35619489467502002</v>
      </c>
      <c r="F422" s="11">
        <v>0</v>
      </c>
      <c r="G422" s="11">
        <v>1.9231021404266357E-2</v>
      </c>
      <c r="H422" s="40">
        <v>5.3525774246018234E-4</v>
      </c>
      <c r="I422" s="40">
        <v>1.4193837383905237</v>
      </c>
      <c r="J422" s="59">
        <v>0</v>
      </c>
      <c r="K422" s="59">
        <v>4133.228212594986</v>
      </c>
      <c r="L422" s="59">
        <v>0</v>
      </c>
      <c r="M422" s="11">
        <v>0.79057860374450684</v>
      </c>
      <c r="N422" s="11">
        <v>0.77295774221420288</v>
      </c>
      <c r="O422" s="11">
        <v>0.2841954231262207</v>
      </c>
      <c r="Q422" s="59">
        <v>13.573241510925927</v>
      </c>
      <c r="R422" s="78">
        <v>480.8193182102595</v>
      </c>
      <c r="S422" s="78">
        <v>13.596382887413409</v>
      </c>
      <c r="T422" s="78">
        <v>610.33139803642734</v>
      </c>
      <c r="U422" s="78">
        <v>2.3141376487481935E-2</v>
      </c>
      <c r="V422" s="78">
        <v>129.51207982616785</v>
      </c>
      <c r="Y422" s="28"/>
      <c r="Z422" s="28"/>
      <c r="AK422" s="28"/>
      <c r="AS422" s="28"/>
      <c r="AT422" s="28"/>
    </row>
    <row r="423" spans="3:46" x14ac:dyDescent="0.15">
      <c r="C423" s="11">
        <v>1.0177850723266602E-2</v>
      </c>
      <c r="D423" s="11">
        <v>8.9235305786132812E-3</v>
      </c>
      <c r="E423" s="11">
        <v>0.15923945189261629</v>
      </c>
      <c r="F423" s="11">
        <v>0</v>
      </c>
      <c r="G423" s="11">
        <v>2.9461756348609924E-2</v>
      </c>
      <c r="H423" s="40">
        <v>3.359401740689851E-4</v>
      </c>
      <c r="I423" s="40">
        <v>1.5473310414710495</v>
      </c>
      <c r="J423" s="59">
        <v>0</v>
      </c>
      <c r="K423" s="59">
        <v>5686.0875338315964</v>
      </c>
      <c r="L423" s="59">
        <v>0</v>
      </c>
      <c r="M423" s="11">
        <v>0.8691161572933197</v>
      </c>
      <c r="N423" s="11">
        <v>0.71642386913299561</v>
      </c>
      <c r="O423" s="11">
        <v>0.34182441234588623</v>
      </c>
      <c r="Q423" s="59">
        <v>15.125717625318266</v>
      </c>
      <c r="R423" s="78">
        <v>512.20522815232357</v>
      </c>
      <c r="S423" s="78">
        <v>15.184136898829985</v>
      </c>
      <c r="T423" s="78">
        <v>598.13803170329413</v>
      </c>
      <c r="U423" s="78">
        <v>5.8419273511718828E-2</v>
      </c>
      <c r="V423" s="78">
        <v>85.932803550970561</v>
      </c>
      <c r="Y423" s="28"/>
      <c r="Z423" s="28"/>
      <c r="AK423" s="28"/>
      <c r="AS423" s="28"/>
      <c r="AT423" s="28"/>
    </row>
    <row r="424" spans="3:46" x14ac:dyDescent="0.15">
      <c r="C424" s="11">
        <v>2.2103473544120789E-2</v>
      </c>
      <c r="D424" s="11">
        <v>5.4107427597045898E-2</v>
      </c>
      <c r="E424" s="11">
        <v>0.31848113305429948</v>
      </c>
      <c r="F424" s="11">
        <v>0</v>
      </c>
      <c r="G424" s="11">
        <v>3.4000009298324585E-2</v>
      </c>
      <c r="H424" s="40">
        <v>7.1040295728856933E-4</v>
      </c>
      <c r="I424" s="40">
        <v>1.2982049230456281</v>
      </c>
      <c r="J424" s="59">
        <v>0</v>
      </c>
      <c r="K424" s="59">
        <v>2410.5794727802277</v>
      </c>
      <c r="L424" s="59">
        <v>0</v>
      </c>
      <c r="M424" s="11">
        <v>0.87052887678146362</v>
      </c>
      <c r="N424" s="11">
        <v>0.73764926195144653</v>
      </c>
      <c r="O424" s="11">
        <v>0.31746304035186768</v>
      </c>
      <c r="Q424" s="59">
        <v>14.959310754151453</v>
      </c>
      <c r="R424" s="78">
        <v>445.192146160101</v>
      </c>
      <c r="S424" s="78">
        <v>15.01177647336069</v>
      </c>
      <c r="T424" s="78">
        <v>595.49860298729845</v>
      </c>
      <c r="U424" s="78">
        <v>5.2465719209237704E-2</v>
      </c>
      <c r="V424" s="78">
        <v>150.30645682719745</v>
      </c>
      <c r="Y424" s="28"/>
      <c r="Z424" s="28"/>
      <c r="AK424" s="28"/>
      <c r="AS424" s="28"/>
      <c r="AT424" s="28"/>
    </row>
    <row r="425" spans="3:46" x14ac:dyDescent="0.15">
      <c r="C425" s="11">
        <v>4.1562736034393311E-2</v>
      </c>
      <c r="D425" s="11">
        <v>8.5511058568954468E-3</v>
      </c>
      <c r="E425" s="11">
        <v>0.52888561591169603</v>
      </c>
      <c r="F425" s="11">
        <v>0</v>
      </c>
      <c r="G425" s="11">
        <v>4.8911094665527344E-2</v>
      </c>
      <c r="H425" s="40">
        <v>5.65335118203423E-4</v>
      </c>
      <c r="I425" s="40">
        <v>1.4827012274019502</v>
      </c>
      <c r="J425" s="59">
        <v>0</v>
      </c>
      <c r="K425" s="59">
        <v>5636.1802853643894</v>
      </c>
      <c r="L425" s="59">
        <v>0</v>
      </c>
      <c r="M425" s="11">
        <v>0.87098971009254456</v>
      </c>
      <c r="N425" s="11">
        <v>0.7350119948387146</v>
      </c>
      <c r="O425" s="11">
        <v>0.32064604759216309</v>
      </c>
      <c r="Q425" s="59">
        <v>14.654748752198092</v>
      </c>
      <c r="R425" s="78">
        <v>567.34812729216412</v>
      </c>
      <c r="S425" s="78">
        <v>14.696757607690186</v>
      </c>
      <c r="T425" s="78">
        <v>671.80125686190161</v>
      </c>
      <c r="U425" s="78">
        <v>4.2008855492094099E-2</v>
      </c>
      <c r="V425" s="78">
        <v>104.45312956973748</v>
      </c>
      <c r="Y425" s="28"/>
      <c r="Z425" s="28"/>
      <c r="AK425" s="28"/>
      <c r="AS425" s="28"/>
      <c r="AT425" s="28"/>
    </row>
    <row r="426" spans="3:46" x14ac:dyDescent="0.15">
      <c r="C426" s="11">
        <v>2.3627549409866333E-2</v>
      </c>
      <c r="D426" s="11">
        <v>1.362273097038269E-2</v>
      </c>
      <c r="E426" s="11">
        <v>0.38993976134364122</v>
      </c>
      <c r="F426" s="11">
        <v>0</v>
      </c>
      <c r="G426" s="11">
        <v>4.6147704124450684E-2</v>
      </c>
      <c r="H426" s="40">
        <v>6.2208473302581405E-4</v>
      </c>
      <c r="I426" s="40">
        <v>1.4279631244649817</v>
      </c>
      <c r="J426" s="59">
        <v>0</v>
      </c>
      <c r="K426" s="59">
        <v>8302.4241030216217</v>
      </c>
      <c r="L426" s="59">
        <v>0</v>
      </c>
      <c r="M426" s="11">
        <v>0.77676582336425781</v>
      </c>
      <c r="N426" s="11">
        <v>0.74162626266479492</v>
      </c>
      <c r="O426" s="11">
        <v>0.35067784786224365</v>
      </c>
      <c r="Q426" s="59">
        <v>13.353276831029312</v>
      </c>
      <c r="R426" s="78">
        <v>634.7722640224199</v>
      </c>
      <c r="S426" s="78">
        <v>13.379219332183308</v>
      </c>
      <c r="T426" s="78">
        <v>674.24585091214487</v>
      </c>
      <c r="U426" s="78">
        <v>2.5942501153995323E-2</v>
      </c>
      <c r="V426" s="78">
        <v>39.47358688972497</v>
      </c>
      <c r="Y426" s="28"/>
      <c r="Z426" s="28"/>
      <c r="AK426" s="28"/>
      <c r="AS426" s="28"/>
      <c r="AT426" s="28"/>
    </row>
    <row r="427" spans="3:46" x14ac:dyDescent="0.15">
      <c r="C427" s="11">
        <v>1.3248607516288757E-2</v>
      </c>
      <c r="D427" s="11">
        <v>1.8186047673225403E-2</v>
      </c>
      <c r="E427" s="11">
        <v>0.21744453028212588</v>
      </c>
      <c r="F427" s="11">
        <v>0</v>
      </c>
      <c r="G427" s="11">
        <v>3.9907276630401611E-2</v>
      </c>
      <c r="H427" s="40">
        <v>4.0069425050694895E-4</v>
      </c>
      <c r="I427" s="40">
        <v>1.5315147297156253</v>
      </c>
      <c r="J427" s="59">
        <v>0</v>
      </c>
      <c r="K427" s="59">
        <v>6668.5117781162262</v>
      </c>
      <c r="L427" s="59">
        <v>0</v>
      </c>
      <c r="M427" s="11">
        <v>0.86610317230224609</v>
      </c>
      <c r="N427" s="11">
        <v>0.74524962902069092</v>
      </c>
      <c r="O427" s="11">
        <v>0.31733298301696777</v>
      </c>
      <c r="Q427" s="59">
        <v>15.02190881676513</v>
      </c>
      <c r="R427" s="78">
        <v>559.42348166163674</v>
      </c>
      <c r="S427" s="78">
        <v>15.079406577577251</v>
      </c>
      <c r="T427" s="78">
        <v>615.59515710702385</v>
      </c>
      <c r="U427" s="78">
        <v>5.7497760812120546E-2</v>
      </c>
      <c r="V427" s="78">
        <v>56.171675445387109</v>
      </c>
      <c r="Y427" s="28"/>
      <c r="Z427" s="28"/>
      <c r="AK427" s="28"/>
      <c r="AS427" s="28"/>
      <c r="AT427" s="28"/>
    </row>
    <row r="428" spans="3:46" x14ac:dyDescent="0.15">
      <c r="C428" s="11">
        <v>5.0712376832962036E-3</v>
      </c>
      <c r="D428" s="11">
        <v>1.029793918132782E-2</v>
      </c>
      <c r="E428" s="11">
        <v>0.14518028487512927</v>
      </c>
      <c r="F428" s="11">
        <v>0</v>
      </c>
      <c r="G428" s="11">
        <v>4.0322750806808472E-2</v>
      </c>
      <c r="H428" s="40">
        <v>4.9048146173755202E-4</v>
      </c>
      <c r="I428" s="40">
        <v>1.4921752713134151</v>
      </c>
      <c r="J428" s="59">
        <v>0</v>
      </c>
      <c r="K428" s="59">
        <v>8118.0967390537262</v>
      </c>
      <c r="L428" s="59">
        <v>0</v>
      </c>
      <c r="M428" s="11">
        <v>0.85800924897193909</v>
      </c>
      <c r="N428" s="11">
        <v>0.80157530307769775</v>
      </c>
      <c r="O428" s="11">
        <v>0.29411262273788452</v>
      </c>
      <c r="Q428" s="59">
        <v>15.023128571785948</v>
      </c>
      <c r="R428" s="78">
        <v>616.03712340160246</v>
      </c>
      <c r="S428" s="78">
        <v>15.070396583179066</v>
      </c>
      <c r="T428" s="78">
        <v>611.88783006496499</v>
      </c>
      <c r="U428" s="78">
        <v>4.7268011393118314E-2</v>
      </c>
      <c r="V428" s="78">
        <v>-4.14929333663747</v>
      </c>
      <c r="Y428" s="28"/>
      <c r="Z428" s="28"/>
      <c r="AK428" s="28"/>
      <c r="AS428" s="28"/>
      <c r="AT428" s="28"/>
    </row>
    <row r="429" spans="3:46" x14ac:dyDescent="0.15">
      <c r="C429" s="11">
        <v>2.9647350311279297E-2</v>
      </c>
      <c r="D429" s="11">
        <v>6.4258724451065063E-3</v>
      </c>
      <c r="E429" s="11">
        <v>0.2862537950065307</v>
      </c>
      <c r="F429" s="11">
        <v>0</v>
      </c>
      <c r="G429" s="11">
        <v>4.0697067975997925E-2</v>
      </c>
      <c r="H429" s="40">
        <v>4.5995964947206561E-4</v>
      </c>
      <c r="I429" s="40">
        <v>1.4708548439704356</v>
      </c>
      <c r="J429" s="59">
        <v>0</v>
      </c>
      <c r="K429" s="59">
        <v>4603.115376085043</v>
      </c>
      <c r="L429" s="59">
        <v>0</v>
      </c>
      <c r="M429" s="11">
        <v>0.85056230425834656</v>
      </c>
      <c r="N429" s="11">
        <v>0.77374303340911865</v>
      </c>
      <c r="O429" s="11">
        <v>0.29625535011291504</v>
      </c>
      <c r="Q429" s="59">
        <v>14.526179518868254</v>
      </c>
      <c r="R429" s="78">
        <v>502.81465985669251</v>
      </c>
      <c r="S429" s="78">
        <v>14.563298090951736</v>
      </c>
      <c r="T429" s="78">
        <v>610.60531304317328</v>
      </c>
      <c r="U429" s="78">
        <v>3.7118572083482348E-2</v>
      </c>
      <c r="V429" s="78">
        <v>107.79065318648077</v>
      </c>
      <c r="Y429" s="28"/>
      <c r="Z429" s="28"/>
      <c r="AK429" s="28"/>
      <c r="AS429" s="28"/>
      <c r="AT429" s="28"/>
    </row>
    <row r="430" spans="3:46" x14ac:dyDescent="0.15">
      <c r="C430" s="11">
        <v>3.3182442188262939E-2</v>
      </c>
      <c r="D430" s="11">
        <v>9.5402002334594727E-3</v>
      </c>
      <c r="E430" s="11">
        <v>0.35258755872258085</v>
      </c>
      <c r="F430" s="11">
        <v>0</v>
      </c>
      <c r="G430" s="11">
        <v>3.76148521900177E-2</v>
      </c>
      <c r="H430" s="40">
        <v>2.794156477384463E-4</v>
      </c>
      <c r="I430" s="40">
        <v>1.4523622884134102</v>
      </c>
      <c r="J430" s="59">
        <v>0</v>
      </c>
      <c r="K430" s="59">
        <v>4365.0413863360882</v>
      </c>
      <c r="L430" s="59">
        <v>0</v>
      </c>
      <c r="M430" s="11">
        <v>0.82195025682449341</v>
      </c>
      <c r="N430" s="11">
        <v>0.73846244812011719</v>
      </c>
      <c r="O430" s="11">
        <v>0.33646565675735474</v>
      </c>
      <c r="Q430" s="59">
        <v>14.00692388344104</v>
      </c>
      <c r="R430" s="78">
        <v>452.68581393232904</v>
      </c>
      <c r="S430" s="78">
        <v>14.026185250077644</v>
      </c>
      <c r="T430" s="78">
        <v>599.84927697068701</v>
      </c>
      <c r="U430" s="78">
        <v>1.9261366636603938E-2</v>
      </c>
      <c r="V430" s="78">
        <v>147.16346303835797</v>
      </c>
      <c r="Y430" s="28"/>
      <c r="Z430" s="28"/>
      <c r="AK430" s="28"/>
      <c r="AS430" s="28"/>
      <c r="AT430" s="28"/>
    </row>
    <row r="431" spans="3:46" x14ac:dyDescent="0.15">
      <c r="C431" s="11">
        <v>1.7421439290046692E-2</v>
      </c>
      <c r="D431" s="11">
        <v>1.5488937497138977E-2</v>
      </c>
      <c r="E431" s="11">
        <v>0.36708534504603668</v>
      </c>
      <c r="F431" s="11">
        <v>0</v>
      </c>
      <c r="G431" s="11">
        <v>6.0640335083007812E-2</v>
      </c>
      <c r="H431" s="40">
        <v>4.9292013264609158E-4</v>
      </c>
      <c r="I431" s="40">
        <v>1.4956933265999732</v>
      </c>
      <c r="J431" s="59">
        <v>0</v>
      </c>
      <c r="K431" s="59">
        <v>4719.4724902510643</v>
      </c>
      <c r="L431" s="59">
        <v>0</v>
      </c>
      <c r="M431" s="11">
        <v>0.8656737208366394</v>
      </c>
      <c r="N431" s="11">
        <v>0.74323475360870361</v>
      </c>
      <c r="O431" s="11">
        <v>0.28326016664505005</v>
      </c>
      <c r="Q431" s="59">
        <v>14.938310854966939</v>
      </c>
      <c r="R431" s="78">
        <v>536.23663316879379</v>
      </c>
      <c r="S431" s="78">
        <v>14.992309789064439</v>
      </c>
      <c r="T431" s="78">
        <v>631.99131066868176</v>
      </c>
      <c r="U431" s="78">
        <v>5.3998934097499784E-2</v>
      </c>
      <c r="V431" s="78">
        <v>95.754677499887976</v>
      </c>
      <c r="Y431" s="28"/>
      <c r="Z431" s="28"/>
      <c r="AK431" s="28"/>
      <c r="AS431" s="28"/>
      <c r="AT431" s="28"/>
    </row>
    <row r="432" spans="3:46" x14ac:dyDescent="0.15">
      <c r="C432" s="11">
        <v>2.7126491069793701E-2</v>
      </c>
      <c r="D432" s="11">
        <v>2.1056830883026123E-3</v>
      </c>
      <c r="E432" s="11">
        <v>0.10673266630486515</v>
      </c>
      <c r="F432" s="11">
        <v>0</v>
      </c>
      <c r="G432" s="11">
        <v>5.63088059425354E-2</v>
      </c>
      <c r="H432" s="40">
        <v>6.0334412800754685E-4</v>
      </c>
      <c r="I432" s="40">
        <v>1.5384286286094215</v>
      </c>
      <c r="J432" s="59">
        <v>0</v>
      </c>
      <c r="K432" s="59">
        <v>5496.894009411335</v>
      </c>
      <c r="L432" s="59">
        <v>0</v>
      </c>
      <c r="M432" s="11">
        <v>0.84261989593505859</v>
      </c>
      <c r="N432" s="11">
        <v>0.80653810501098633</v>
      </c>
      <c r="O432" s="11">
        <v>0.32081276178359985</v>
      </c>
      <c r="Q432" s="59">
        <v>14.417972289753786</v>
      </c>
      <c r="R432" s="78">
        <v>616.09865333722826</v>
      </c>
      <c r="S432" s="78">
        <v>14.473074904156739</v>
      </c>
      <c r="T432" s="78">
        <v>603.4198286820432</v>
      </c>
      <c r="U432" s="78">
        <v>5.5102614402953165E-2</v>
      </c>
      <c r="V432" s="78">
        <v>-12.678824655185053</v>
      </c>
      <c r="Y432" s="28"/>
      <c r="Z432" s="28"/>
      <c r="AK432" s="28"/>
      <c r="AS432" s="28"/>
      <c r="AT432" s="28"/>
    </row>
    <row r="433" spans="3:46" x14ac:dyDescent="0.15">
      <c r="C433" s="11">
        <v>4.7461748123168945E-2</v>
      </c>
      <c r="D433" s="11">
        <v>4.7983050346374512E-2</v>
      </c>
      <c r="E433" s="11">
        <v>0.251825379114748</v>
      </c>
      <c r="F433" s="11">
        <v>0</v>
      </c>
      <c r="G433" s="11">
        <v>3.6053001880645752E-2</v>
      </c>
      <c r="H433" s="40">
        <v>4.2430935154959092E-4</v>
      </c>
      <c r="I433" s="40">
        <v>1.4139011384455209</v>
      </c>
      <c r="J433" s="59">
        <v>0</v>
      </c>
      <c r="K433" s="59">
        <v>6692.2185942530632</v>
      </c>
      <c r="L433" s="59">
        <v>0</v>
      </c>
      <c r="M433" s="11">
        <v>0.85159000754356384</v>
      </c>
      <c r="N433" s="11">
        <v>0.80888724327087402</v>
      </c>
      <c r="O433" s="11">
        <v>0.28409445285797119</v>
      </c>
      <c r="Q433" s="59">
        <v>14.285698014193809</v>
      </c>
      <c r="R433" s="78">
        <v>511.6819342573923</v>
      </c>
      <c r="S433" s="78">
        <v>14.317350086373935</v>
      </c>
      <c r="T433" s="78">
        <v>608.98241792048134</v>
      </c>
      <c r="U433" s="78">
        <v>3.1652072180126112E-2</v>
      </c>
      <c r="V433" s="78">
        <v>97.30048366308904</v>
      </c>
      <c r="Y433" s="28"/>
      <c r="Z433" s="28"/>
      <c r="AK433" s="28"/>
      <c r="AS433" s="28"/>
      <c r="AT433" s="28"/>
    </row>
    <row r="434" spans="3:46" x14ac:dyDescent="0.15">
      <c r="C434" s="11">
        <v>9.6820294857025146E-3</v>
      </c>
      <c r="D434" s="11">
        <v>3.5337567329406738E-2</v>
      </c>
      <c r="E434" s="11">
        <v>0.18021453326325457</v>
      </c>
      <c r="F434" s="11">
        <v>0</v>
      </c>
      <c r="G434" s="11">
        <v>6.2075495719909668E-2</v>
      </c>
      <c r="H434" s="40">
        <v>3.8481453163874521E-4</v>
      </c>
      <c r="I434" s="40">
        <v>1.4785172009119631</v>
      </c>
      <c r="J434" s="59">
        <v>0</v>
      </c>
      <c r="K434" s="59">
        <v>3101.9188463687897</v>
      </c>
      <c r="L434" s="59">
        <v>0</v>
      </c>
      <c r="M434" s="11">
        <v>0.83535653352737427</v>
      </c>
      <c r="N434" s="11">
        <v>0.73039728403091431</v>
      </c>
      <c r="O434" s="11">
        <v>0.31953656673431396</v>
      </c>
      <c r="Q434" s="59">
        <v>14.549502716784287</v>
      </c>
      <c r="R434" s="78">
        <v>464.26719384430316</v>
      </c>
      <c r="S434" s="78">
        <v>14.600977225613491</v>
      </c>
      <c r="T434" s="78">
        <v>591.84390031950113</v>
      </c>
      <c r="U434" s="78">
        <v>5.1474508829203458E-2</v>
      </c>
      <c r="V434" s="78">
        <v>127.57670647519797</v>
      </c>
      <c r="Y434" s="28"/>
      <c r="Z434" s="28"/>
      <c r="AK434" s="28"/>
      <c r="AS434" s="28"/>
      <c r="AT434" s="28"/>
    </row>
    <row r="435" spans="3:46" x14ac:dyDescent="0.15">
      <c r="C435" s="11">
        <v>9.8536014556884766E-3</v>
      </c>
      <c r="D435" s="11">
        <v>2.028229832649231E-2</v>
      </c>
      <c r="E435" s="11">
        <v>0.21924639212008945</v>
      </c>
      <c r="F435" s="11">
        <v>0</v>
      </c>
      <c r="G435" s="11">
        <v>5.3758442401885986E-2</v>
      </c>
      <c r="H435" s="40">
        <v>3.800639683660978E-4</v>
      </c>
      <c r="I435" s="40">
        <v>1.5590984256616407</v>
      </c>
      <c r="J435" s="59">
        <v>0</v>
      </c>
      <c r="K435" s="59">
        <v>3716.7756818234921</v>
      </c>
      <c r="L435" s="59">
        <v>0</v>
      </c>
      <c r="M435" s="11">
        <v>0.85926789045333862</v>
      </c>
      <c r="N435" s="11">
        <v>0.80670070648193359</v>
      </c>
      <c r="O435" s="11">
        <v>0.28959611058235168</v>
      </c>
      <c r="Q435" s="59">
        <v>14.970164676082884</v>
      </c>
      <c r="R435" s="78">
        <v>495.51975095802317</v>
      </c>
      <c r="S435" s="78">
        <v>15.015190812465541</v>
      </c>
      <c r="T435" s="78">
        <v>601.65583803347351</v>
      </c>
      <c r="U435" s="78">
        <v>4.502613638265629E-2</v>
      </c>
      <c r="V435" s="78">
        <v>106.13608707545035</v>
      </c>
      <c r="Y435" s="28"/>
      <c r="Z435" s="28"/>
      <c r="AK435" s="28"/>
      <c r="AS435" s="28"/>
      <c r="AT435" s="28"/>
    </row>
    <row r="436" spans="3:46" x14ac:dyDescent="0.15">
      <c r="C436" s="11">
        <v>2.2039979696273804E-2</v>
      </c>
      <c r="D436" s="11">
        <v>2.5394171476364136E-2</v>
      </c>
      <c r="E436" s="11">
        <v>0.28629051589700494</v>
      </c>
      <c r="F436" s="11">
        <v>0</v>
      </c>
      <c r="G436" s="11">
        <v>2.3733377456665039E-2</v>
      </c>
      <c r="H436" s="40">
        <v>3.9614405206387802E-4</v>
      </c>
      <c r="I436" s="40">
        <v>1.5280970556216866</v>
      </c>
      <c r="J436" s="59">
        <v>0</v>
      </c>
      <c r="K436" s="59">
        <v>5385.314580053091</v>
      </c>
      <c r="L436" s="59">
        <v>0</v>
      </c>
      <c r="M436" s="11">
        <v>0.86474734544754028</v>
      </c>
      <c r="N436" s="11">
        <v>0.70325660705566406</v>
      </c>
      <c r="O436" s="11">
        <v>0.29172110557556152</v>
      </c>
      <c r="Q436" s="59">
        <v>14.852656327415179</v>
      </c>
      <c r="R436" s="78">
        <v>512.77795780181918</v>
      </c>
      <c r="S436" s="78">
        <v>14.913049440907811</v>
      </c>
      <c r="T436" s="78">
        <v>613.53978495420449</v>
      </c>
      <c r="U436" s="78">
        <v>6.0393113492631656E-2</v>
      </c>
      <c r="V436" s="78">
        <v>100.76182715238531</v>
      </c>
      <c r="Y436" s="28"/>
      <c r="Z436" s="28"/>
      <c r="AK436" s="28"/>
      <c r="AS436" s="28"/>
      <c r="AT436" s="28"/>
    </row>
    <row r="437" spans="3:46" x14ac:dyDescent="0.15">
      <c r="C437" s="11">
        <v>5.8761119842529297E-2</v>
      </c>
      <c r="D437" s="11">
        <v>3.5749912261962891E-2</v>
      </c>
      <c r="E437" s="11">
        <v>0.1618603991825785</v>
      </c>
      <c r="F437" s="11">
        <v>0</v>
      </c>
      <c r="G437" s="11">
        <v>2.4323493242263794E-2</v>
      </c>
      <c r="H437" s="40">
        <v>4.2687695707056589E-4</v>
      </c>
      <c r="I437" s="40">
        <v>1.4567656261126529</v>
      </c>
      <c r="J437" s="59">
        <v>0</v>
      </c>
      <c r="K437" s="59">
        <v>5778.4095406532288</v>
      </c>
      <c r="L437" s="59">
        <v>0</v>
      </c>
      <c r="M437" s="11">
        <v>0.81827926635742188</v>
      </c>
      <c r="N437" s="11">
        <v>0.75802505016326904</v>
      </c>
      <c r="O437" s="11">
        <v>0.30569615960121155</v>
      </c>
      <c r="Q437" s="59">
        <v>13.559889160654347</v>
      </c>
      <c r="R437" s="78">
        <v>501.6393791049706</v>
      </c>
      <c r="S437" s="78">
        <v>13.597083082675812</v>
      </c>
      <c r="T437" s="78">
        <v>596.69320719178836</v>
      </c>
      <c r="U437" s="78">
        <v>3.7193922021465653E-2</v>
      </c>
      <c r="V437" s="78">
        <v>95.053828086817759</v>
      </c>
      <c r="Y437" s="28"/>
      <c r="Z437" s="28"/>
      <c r="AK437" s="28"/>
      <c r="AS437" s="28"/>
      <c r="AT437" s="28"/>
    </row>
    <row r="438" spans="3:46" x14ac:dyDescent="0.15">
      <c r="C438" s="11">
        <v>1.8300473690032959E-2</v>
      </c>
      <c r="D438" s="11">
        <v>9.7733587026596069E-3</v>
      </c>
      <c r="E438" s="11">
        <v>0.25529300437697655</v>
      </c>
      <c r="F438" s="11">
        <v>0</v>
      </c>
      <c r="G438" s="11">
        <v>4.4530808925628662E-2</v>
      </c>
      <c r="H438" s="40">
        <v>5.8808252685788357E-4</v>
      </c>
      <c r="I438" s="40">
        <v>1.3905467415977861</v>
      </c>
      <c r="J438" s="59">
        <v>0</v>
      </c>
      <c r="K438" s="59">
        <v>5289.7329442203045</v>
      </c>
      <c r="L438" s="59">
        <v>0</v>
      </c>
      <c r="M438" s="11">
        <v>0.82329106330871582</v>
      </c>
      <c r="N438" s="11">
        <v>0.68344879150390625</v>
      </c>
      <c r="O438" s="11">
        <v>0.31745076179504395</v>
      </c>
      <c r="Q438" s="59">
        <v>14.203872432500159</v>
      </c>
      <c r="R438" s="78">
        <v>524.32262980655355</v>
      </c>
      <c r="S438" s="78">
        <v>14.257376493904388</v>
      </c>
      <c r="T438" s="78">
        <v>612.76073610912135</v>
      </c>
      <c r="U438" s="78">
        <v>5.3504061404229475E-2</v>
      </c>
      <c r="V438" s="78">
        <v>88.438106302567803</v>
      </c>
      <c r="Y438" s="28"/>
      <c r="Z438" s="28"/>
      <c r="AK438" s="28"/>
      <c r="AS438" s="28"/>
      <c r="AT438" s="28"/>
    </row>
    <row r="439" spans="3:46" x14ac:dyDescent="0.15">
      <c r="C439" s="11">
        <v>6.6185593605041504E-3</v>
      </c>
      <c r="D439" s="11">
        <v>2.7106314897537231E-2</v>
      </c>
      <c r="E439" s="11">
        <v>0.30614643415274972</v>
      </c>
      <c r="F439" s="11">
        <v>0</v>
      </c>
      <c r="G439" s="11">
        <v>5.9446752071380615E-2</v>
      </c>
      <c r="H439" s="40">
        <v>4.0599752201337129E-4</v>
      </c>
      <c r="I439" s="40">
        <v>1.4550453273440216</v>
      </c>
      <c r="J439" s="59">
        <v>0</v>
      </c>
      <c r="K439" s="59">
        <v>6848.1173366308212</v>
      </c>
      <c r="L439" s="59">
        <v>0</v>
      </c>
      <c r="M439" s="11">
        <v>0.82166409492492676</v>
      </c>
      <c r="N439" s="11">
        <v>0.74189615249633789</v>
      </c>
      <c r="O439" s="11">
        <v>0.28110390901565552</v>
      </c>
      <c r="Q439" s="59">
        <v>14.363571988614799</v>
      </c>
      <c r="R439" s="78">
        <v>546.12929626241748</v>
      </c>
      <c r="S439" s="78">
        <v>14.400740011610898</v>
      </c>
      <c r="T439" s="78">
        <v>626.12030517244023</v>
      </c>
      <c r="U439" s="78">
        <v>3.7168022996098671E-2</v>
      </c>
      <c r="V439" s="78">
        <v>79.991008910022742</v>
      </c>
      <c r="Y439" s="28"/>
      <c r="Z439" s="28"/>
      <c r="AK439" s="28"/>
      <c r="AS439" s="28"/>
      <c r="AT439" s="28"/>
    </row>
    <row r="440" spans="3:46" x14ac:dyDescent="0.15">
      <c r="C440" s="11">
        <v>2.4935543537139893E-2</v>
      </c>
      <c r="D440" s="11">
        <v>1.0898202657699585E-2</v>
      </c>
      <c r="E440" s="11">
        <v>0.28995026220368003</v>
      </c>
      <c r="F440" s="11">
        <v>0</v>
      </c>
      <c r="G440" s="11">
        <v>2.9718101024627686E-2</v>
      </c>
      <c r="H440" s="40">
        <v>5.2682041064727053E-4</v>
      </c>
      <c r="I440" s="40">
        <v>1.3100824087972738</v>
      </c>
      <c r="J440" s="59">
        <v>0</v>
      </c>
      <c r="K440" s="59">
        <v>4227.1381244063377</v>
      </c>
      <c r="L440" s="59">
        <v>0</v>
      </c>
      <c r="M440" s="11">
        <v>0.83662104606628418</v>
      </c>
      <c r="N440" s="11">
        <v>0.72865498065948486</v>
      </c>
      <c r="O440" s="11">
        <v>0.32914865016937256</v>
      </c>
      <c r="Q440" s="59">
        <v>14.366626063215397</v>
      </c>
      <c r="R440" s="78">
        <v>462.07817432692747</v>
      </c>
      <c r="S440" s="78">
        <v>14.396741539288485</v>
      </c>
      <c r="T440" s="78">
        <v>598.92994849044112</v>
      </c>
      <c r="U440" s="78">
        <v>3.0115476073087066E-2</v>
      </c>
      <c r="V440" s="78">
        <v>136.85177416351365</v>
      </c>
      <c r="Y440" s="28"/>
      <c r="Z440" s="28"/>
      <c r="AK440" s="28"/>
      <c r="AS440" s="28"/>
      <c r="AT440" s="28"/>
    </row>
    <row r="441" spans="3:46" x14ac:dyDescent="0.15">
      <c r="C441" s="11">
        <v>2.0690947771072388E-2</v>
      </c>
      <c r="D441" s="11">
        <v>2.241969108581543E-3</v>
      </c>
      <c r="E441" s="11">
        <v>0.31402394143697671</v>
      </c>
      <c r="F441" s="11">
        <v>0</v>
      </c>
      <c r="G441" s="11">
        <v>9.0188264846801758E-2</v>
      </c>
      <c r="H441" s="40">
        <v>5.0415938745305533E-4</v>
      </c>
      <c r="I441" s="40">
        <v>1.412455451745052</v>
      </c>
      <c r="J441" s="59">
        <v>0</v>
      </c>
      <c r="K441" s="59">
        <v>3318.2511106133461</v>
      </c>
      <c r="L441" s="59">
        <v>0</v>
      </c>
      <c r="M441" s="11">
        <v>0.78183650970458984</v>
      </c>
      <c r="N441" s="11">
        <v>0.7697405219078064</v>
      </c>
      <c r="O441" s="11">
        <v>0.28928166627883911</v>
      </c>
      <c r="Q441" s="59">
        <v>13.492197501547089</v>
      </c>
      <c r="R441" s="78">
        <v>485.39025856645867</v>
      </c>
      <c r="S441" s="78">
        <v>13.514053609629988</v>
      </c>
      <c r="T441" s="78">
        <v>608.04688766524987</v>
      </c>
      <c r="U441" s="78">
        <v>2.1856108082898729E-2</v>
      </c>
      <c r="V441" s="78">
        <v>122.6566290987912</v>
      </c>
      <c r="Y441" s="28"/>
      <c r="Z441" s="28"/>
      <c r="AK441" s="28"/>
      <c r="AS441" s="28"/>
      <c r="AT441" s="28"/>
    </row>
    <row r="442" spans="3:46" x14ac:dyDescent="0.15">
      <c r="C442" s="11">
        <v>9.5982253551483154E-3</v>
      </c>
      <c r="D442" s="11">
        <v>3.9232194423675537E-2</v>
      </c>
      <c r="E442" s="11">
        <v>0.21529192512869819</v>
      </c>
      <c r="F442" s="11">
        <v>0</v>
      </c>
      <c r="G442" s="11">
        <v>2.4088025093078613E-2</v>
      </c>
      <c r="H442" s="40">
        <v>3.6785659780164787E-4</v>
      </c>
      <c r="I442" s="40">
        <v>1.5180507140773365</v>
      </c>
      <c r="J442" s="59">
        <v>0</v>
      </c>
      <c r="K442" s="59">
        <v>5161.722656339407</v>
      </c>
      <c r="L442" s="59">
        <v>0</v>
      </c>
      <c r="M442" s="11">
        <v>0.83800196647644043</v>
      </c>
      <c r="N442" s="11">
        <v>0.74816113710403442</v>
      </c>
      <c r="O442" s="11">
        <v>0.31228792667388916</v>
      </c>
      <c r="Q442" s="59">
        <v>14.601228855322502</v>
      </c>
      <c r="R442" s="78">
        <v>498.1325353066058</v>
      </c>
      <c r="S442" s="78">
        <v>14.647151524011951</v>
      </c>
      <c r="T442" s="78">
        <v>601.76703530937505</v>
      </c>
      <c r="U442" s="78">
        <v>4.5922668689449608E-2</v>
      </c>
      <c r="V442" s="78">
        <v>103.63450000276924</v>
      </c>
      <c r="Y442" s="28"/>
      <c r="Z442" s="28"/>
      <c r="AK442" s="28"/>
      <c r="AS442" s="28"/>
      <c r="AT442" s="28"/>
    </row>
    <row r="443" spans="3:46" x14ac:dyDescent="0.15">
      <c r="C443" s="11">
        <v>4.8165321350097656E-2</v>
      </c>
      <c r="D443" s="11">
        <v>7.6438188552856445E-3</v>
      </c>
      <c r="E443" s="11">
        <v>0.28102455551864253</v>
      </c>
      <c r="F443" s="11">
        <v>0</v>
      </c>
      <c r="G443" s="11">
        <v>3.429606556892395E-2</v>
      </c>
      <c r="H443" s="40">
        <v>5.8086349930817731E-4</v>
      </c>
      <c r="I443" s="40">
        <v>1.4545176447317252</v>
      </c>
      <c r="J443" s="59">
        <v>0</v>
      </c>
      <c r="K443" s="59">
        <v>4281.5622873604298</v>
      </c>
      <c r="L443" s="59">
        <v>0</v>
      </c>
      <c r="M443" s="11">
        <v>0.8664625883102417</v>
      </c>
      <c r="N443" s="11">
        <v>0.76182073354721069</v>
      </c>
      <c r="O443" s="11">
        <v>0.35836482048034668</v>
      </c>
      <c r="Q443" s="59">
        <v>14.499043031229926</v>
      </c>
      <c r="R443" s="78">
        <v>509.07589332722972</v>
      </c>
      <c r="S443" s="78">
        <v>14.547986311934457</v>
      </c>
      <c r="T443" s="78">
        <v>611.91208479506975</v>
      </c>
      <c r="U443" s="78">
        <v>4.8943280704531134E-2</v>
      </c>
      <c r="V443" s="78">
        <v>102.83619146784002</v>
      </c>
      <c r="Y443" s="28"/>
      <c r="Z443" s="28"/>
      <c r="AK443" s="28"/>
      <c r="AS443" s="28"/>
      <c r="AT443" s="28"/>
    </row>
    <row r="444" spans="3:46" x14ac:dyDescent="0.15">
      <c r="C444" s="11">
        <v>7.3099583387374878E-3</v>
      </c>
      <c r="D444" s="11">
        <v>4.4858098030090332E-2</v>
      </c>
      <c r="E444" s="11">
        <v>0.17473561545042962</v>
      </c>
      <c r="F444" s="11">
        <v>0</v>
      </c>
      <c r="G444" s="11">
        <v>4.5528948307037354E-2</v>
      </c>
      <c r="H444" s="40">
        <v>4.2151002492668961E-4</v>
      </c>
      <c r="I444" s="40">
        <v>1.5954541517145657</v>
      </c>
      <c r="J444" s="59">
        <v>0</v>
      </c>
      <c r="K444" s="59">
        <v>6624.5254129171371</v>
      </c>
      <c r="L444" s="59">
        <v>0</v>
      </c>
      <c r="M444" s="11">
        <v>0.89374685287475586</v>
      </c>
      <c r="N444" s="11">
        <v>0.77972108125686646</v>
      </c>
      <c r="O444" s="11">
        <v>0.26311671733856201</v>
      </c>
      <c r="Q444" s="59">
        <v>15.561092097850052</v>
      </c>
      <c r="R444" s="78">
        <v>606.61013729927299</v>
      </c>
      <c r="S444" s="78">
        <v>15.651556133535845</v>
      </c>
      <c r="T444" s="78">
        <v>617.04351905337671</v>
      </c>
      <c r="U444" s="78">
        <v>9.0464035685792865E-2</v>
      </c>
      <c r="V444" s="78">
        <v>10.433381754103721</v>
      </c>
      <c r="Y444" s="28"/>
      <c r="Z444" s="28"/>
      <c r="AK444" s="28"/>
      <c r="AS444" s="28"/>
      <c r="AT444" s="28"/>
    </row>
    <row r="445" spans="3:46" x14ac:dyDescent="0.15">
      <c r="C445" s="11">
        <v>4.8665523529052734E-2</v>
      </c>
      <c r="D445" s="11">
        <v>2.7330219745635986E-3</v>
      </c>
      <c r="E445" s="11">
        <v>0.30243144886375006</v>
      </c>
      <c r="F445" s="11">
        <v>0</v>
      </c>
      <c r="G445" s="11">
        <v>3.912055492401123E-2</v>
      </c>
      <c r="H445" s="40">
        <v>4.6437004166201485E-4</v>
      </c>
      <c r="I445" s="40">
        <v>1.4303580147372283</v>
      </c>
      <c r="J445" s="59">
        <v>0</v>
      </c>
      <c r="K445" s="59">
        <v>2502.4823844432831</v>
      </c>
      <c r="L445" s="59">
        <v>0</v>
      </c>
      <c r="M445" s="11">
        <v>0.8335222601890564</v>
      </c>
      <c r="N445" s="11">
        <v>0.75671392679214478</v>
      </c>
      <c r="O445" s="11">
        <v>0.31557399034500122</v>
      </c>
      <c r="Q445" s="59">
        <v>13.963314845057228</v>
      </c>
      <c r="R445" s="78">
        <v>445.75722915643934</v>
      </c>
      <c r="S445" s="78">
        <v>13.993233006572011</v>
      </c>
      <c r="T445" s="78">
        <v>594.84988558794714</v>
      </c>
      <c r="U445" s="78">
        <v>2.9918161514782327E-2</v>
      </c>
      <c r="V445" s="78">
        <v>149.09265643150781</v>
      </c>
      <c r="Y445" s="28"/>
      <c r="Z445" s="28"/>
      <c r="AK445" s="28"/>
      <c r="AS445" s="28"/>
      <c r="AT445" s="28"/>
    </row>
    <row r="446" spans="3:46" x14ac:dyDescent="0.15">
      <c r="C446" s="11">
        <v>1.3256266713142395E-2</v>
      </c>
      <c r="D446" s="11">
        <v>9.9593698978424072E-3</v>
      </c>
      <c r="E446" s="11">
        <v>0.3439509379938015</v>
      </c>
      <c r="F446" s="11">
        <v>0</v>
      </c>
      <c r="G446" s="11">
        <v>5.28678297996521E-2</v>
      </c>
      <c r="H446" s="40">
        <v>6.4847188078430895E-4</v>
      </c>
      <c r="I446" s="40">
        <v>1.3803768791488391</v>
      </c>
      <c r="J446" s="59">
        <v>0</v>
      </c>
      <c r="K446" s="59">
        <v>5382.7604278922081</v>
      </c>
      <c r="L446" s="59">
        <v>0</v>
      </c>
      <c r="M446" s="11">
        <v>0.88737499713897705</v>
      </c>
      <c r="N446" s="11">
        <v>0.78126418590545654</v>
      </c>
      <c r="O446" s="11">
        <v>0.28985852003097534</v>
      </c>
      <c r="Q446" s="59">
        <v>15.393737215306654</v>
      </c>
      <c r="R446" s="78">
        <v>542.41871584377418</v>
      </c>
      <c r="S446" s="78">
        <v>15.441029068899647</v>
      </c>
      <c r="T446" s="78">
        <v>630.74765257762704</v>
      </c>
      <c r="U446" s="78">
        <v>4.7291853592993149E-2</v>
      </c>
      <c r="V446" s="78">
        <v>88.328936733852856</v>
      </c>
      <c r="Y446" s="28"/>
      <c r="Z446" s="28"/>
      <c r="AK446" s="28"/>
      <c r="AS446" s="28"/>
      <c r="AT446" s="28"/>
    </row>
    <row r="447" spans="3:46" x14ac:dyDescent="0.15">
      <c r="C447" s="11">
        <v>9.0182870626449585E-3</v>
      </c>
      <c r="D447" s="11">
        <v>1.3377338647842407E-2</v>
      </c>
      <c r="E447" s="11">
        <v>0.23043894869146131</v>
      </c>
      <c r="F447" s="11">
        <v>0</v>
      </c>
      <c r="G447" s="11">
        <v>1.4484524726867676E-2</v>
      </c>
      <c r="H447" s="40">
        <v>3.0445293968823638E-4</v>
      </c>
      <c r="I447" s="40">
        <v>1.5747119289977782</v>
      </c>
      <c r="J447" s="59">
        <v>0</v>
      </c>
      <c r="K447" s="59">
        <v>2897.9592025279999</v>
      </c>
      <c r="L447" s="59">
        <v>0</v>
      </c>
      <c r="M447" s="11">
        <v>0.87353825569152832</v>
      </c>
      <c r="N447" s="11">
        <v>0.76045244932174683</v>
      </c>
      <c r="O447" s="11">
        <v>0.25463986396789551</v>
      </c>
      <c r="Q447" s="59">
        <v>15.230792161885962</v>
      </c>
      <c r="R447" s="78">
        <v>448.33223912811394</v>
      </c>
      <c r="S447" s="78">
        <v>15.27661612287711</v>
      </c>
      <c r="T447" s="78">
        <v>591.71504500071228</v>
      </c>
      <c r="U447" s="78">
        <v>4.5823960991148383E-2</v>
      </c>
      <c r="V447" s="78">
        <v>143.38280587259834</v>
      </c>
      <c r="Y447" s="28"/>
      <c r="Z447" s="28"/>
      <c r="AK447" s="28"/>
      <c r="AS447" s="28"/>
      <c r="AT447" s="28"/>
    </row>
    <row r="448" spans="3:46" x14ac:dyDescent="0.15">
      <c r="C448" s="11">
        <v>1.412627100944519E-2</v>
      </c>
      <c r="D448" s="11">
        <v>1.0168090462684631E-2</v>
      </c>
      <c r="E448" s="11">
        <v>0.26569401861364855</v>
      </c>
      <c r="F448" s="11">
        <v>0</v>
      </c>
      <c r="G448" s="11">
        <v>1.8355369567871094E-2</v>
      </c>
      <c r="H448" s="40">
        <v>3.0424458923133171E-4</v>
      </c>
      <c r="I448" s="40">
        <v>1.4864295437178592</v>
      </c>
      <c r="J448" s="59">
        <v>0</v>
      </c>
      <c r="K448" s="59">
        <v>5182.2187379002571</v>
      </c>
      <c r="L448" s="59">
        <v>0</v>
      </c>
      <c r="M448" s="11">
        <v>0.90917611122131348</v>
      </c>
      <c r="N448" s="11">
        <v>0.78350961208343506</v>
      </c>
      <c r="O448" s="11">
        <v>0.28698334097862244</v>
      </c>
      <c r="Q448" s="59">
        <v>15.783847011314311</v>
      </c>
      <c r="R448" s="78">
        <v>470.56713716617816</v>
      </c>
      <c r="S448" s="78">
        <v>15.819372473379458</v>
      </c>
      <c r="T448" s="78">
        <v>599.56357817819207</v>
      </c>
      <c r="U448" s="78">
        <v>3.552546206514684E-2</v>
      </c>
      <c r="V448" s="78">
        <v>128.99644101201392</v>
      </c>
      <c r="Y448" s="28"/>
      <c r="Z448" s="28"/>
      <c r="AK448" s="28"/>
      <c r="AS448" s="28"/>
      <c r="AT448" s="28"/>
    </row>
    <row r="449" spans="3:46" x14ac:dyDescent="0.15">
      <c r="C449" s="11">
        <v>5.3246021270751953E-3</v>
      </c>
      <c r="D449" s="11">
        <v>2.3368149995803833E-2</v>
      </c>
      <c r="E449" s="11">
        <v>0.28969844592856164</v>
      </c>
      <c r="F449" s="11">
        <v>0</v>
      </c>
      <c r="G449" s="11">
        <v>2.3478865623474121E-2</v>
      </c>
      <c r="H449" s="40">
        <v>3.8895188441102538E-4</v>
      </c>
      <c r="I449" s="40">
        <v>1.403608854286222</v>
      </c>
      <c r="J449" s="59">
        <v>0</v>
      </c>
      <c r="K449" s="59">
        <v>4755.2352771162987</v>
      </c>
      <c r="L449" s="59">
        <v>0</v>
      </c>
      <c r="M449" s="11">
        <v>0.78382110595703125</v>
      </c>
      <c r="N449" s="11">
        <v>0.71443164348602295</v>
      </c>
      <c r="O449" s="11">
        <v>0.26444941759109497</v>
      </c>
      <c r="Q449" s="59">
        <v>13.735442446244349</v>
      </c>
      <c r="R449" s="78">
        <v>467.06325835951588</v>
      </c>
      <c r="S449" s="78">
        <v>13.76083825038487</v>
      </c>
      <c r="T449" s="78">
        <v>600.37698479411961</v>
      </c>
      <c r="U449" s="78">
        <v>2.5395804140520895E-2</v>
      </c>
      <c r="V449" s="78">
        <v>133.31372643460372</v>
      </c>
      <c r="Y449" s="28"/>
      <c r="Z449" s="28"/>
      <c r="AK449" s="28"/>
      <c r="AS449" s="28"/>
      <c r="AT449" s="28"/>
    </row>
    <row r="450" spans="3:46" x14ac:dyDescent="0.15">
      <c r="C450" s="11">
        <v>1.6194909811019897E-2</v>
      </c>
      <c r="D450" s="11">
        <v>1.2465909123420715E-2</v>
      </c>
      <c r="E450" s="11">
        <v>0.13666996783449881</v>
      </c>
      <c r="F450" s="11">
        <v>0</v>
      </c>
      <c r="G450" s="11">
        <v>3.7385672330856323E-2</v>
      </c>
      <c r="H450" s="40">
        <v>4.2360908375019057E-4</v>
      </c>
      <c r="I450" s="40">
        <v>1.5408643133147488</v>
      </c>
      <c r="J450" s="59">
        <v>0</v>
      </c>
      <c r="K450" s="59">
        <v>7798.4016388654709</v>
      </c>
      <c r="L450" s="59">
        <v>0</v>
      </c>
      <c r="M450" s="11">
        <v>0.83413690328598022</v>
      </c>
      <c r="N450" s="11">
        <v>0.77676331996917725</v>
      </c>
      <c r="O450" s="11">
        <v>0.34227514266967773</v>
      </c>
      <c r="Q450" s="59">
        <v>14.443576606679416</v>
      </c>
      <c r="R450" s="78">
        <v>600.80922123569007</v>
      </c>
      <c r="S450" s="78">
        <v>14.487991108015139</v>
      </c>
      <c r="T450" s="78">
        <v>607.85850100396613</v>
      </c>
      <c r="U450" s="78">
        <v>4.4414501335722889E-2</v>
      </c>
      <c r="V450" s="78">
        <v>7.0492797682760511</v>
      </c>
      <c r="Y450" s="28"/>
      <c r="Z450" s="28"/>
      <c r="AK450" s="28"/>
      <c r="AS450" s="28"/>
      <c r="AT450" s="28"/>
    </row>
    <row r="451" spans="3:46" x14ac:dyDescent="0.15">
      <c r="C451" s="11">
        <v>3.9978384971618652E-2</v>
      </c>
      <c r="D451" s="11">
        <v>1.0355859994888306E-2</v>
      </c>
      <c r="E451" s="11">
        <v>0.28287710860268273</v>
      </c>
      <c r="F451" s="11">
        <v>0</v>
      </c>
      <c r="G451" s="11">
        <v>8.4405422210693359E-2</v>
      </c>
      <c r="H451" s="40">
        <v>4.4764379757396023E-4</v>
      </c>
      <c r="I451" s="40">
        <v>1.446692600768696</v>
      </c>
      <c r="J451" s="59">
        <v>0</v>
      </c>
      <c r="K451" s="59">
        <v>5464.192945510149</v>
      </c>
      <c r="L451" s="59">
        <v>0</v>
      </c>
      <c r="M451" s="11">
        <v>0.86135673522949219</v>
      </c>
      <c r="N451" s="11">
        <v>0.71145886182785034</v>
      </c>
      <c r="O451" s="11">
        <v>0.26625341176986694</v>
      </c>
      <c r="Q451" s="59">
        <v>14.530583442249746</v>
      </c>
      <c r="R451" s="78">
        <v>534.85851874385628</v>
      </c>
      <c r="S451" s="78">
        <v>14.584619706899826</v>
      </c>
      <c r="T451" s="78">
        <v>619.353615206619</v>
      </c>
      <c r="U451" s="78">
        <v>5.4036264650079602E-2</v>
      </c>
      <c r="V451" s="78">
        <v>84.495096462762717</v>
      </c>
      <c r="Y451" s="28"/>
      <c r="Z451" s="28"/>
      <c r="AK451" s="28"/>
      <c r="AS451" s="28"/>
      <c r="AT451" s="28"/>
    </row>
    <row r="452" spans="3:46" x14ac:dyDescent="0.15">
      <c r="C452" s="11">
        <v>2.1163508296012878E-2</v>
      </c>
      <c r="D452" s="11">
        <v>1.1515572667121887E-2</v>
      </c>
      <c r="E452" s="11">
        <v>0.28266457450934085</v>
      </c>
      <c r="F452" s="11">
        <v>0</v>
      </c>
      <c r="G452" s="11">
        <v>2.3598343133926392E-2</v>
      </c>
      <c r="H452" s="40">
        <v>4.4294724882869074E-4</v>
      </c>
      <c r="I452" s="40">
        <v>1.4035834136036525</v>
      </c>
      <c r="J452" s="59">
        <v>0</v>
      </c>
      <c r="K452" s="59">
        <v>4660.9388664364815</v>
      </c>
      <c r="L452" s="59">
        <v>0</v>
      </c>
      <c r="M452" s="11">
        <v>0.84822061657905579</v>
      </c>
      <c r="N452" s="11">
        <v>0.78400391340255737</v>
      </c>
      <c r="O452" s="11">
        <v>0.29895776510238647</v>
      </c>
      <c r="Q452" s="59">
        <v>14.628083559928253</v>
      </c>
      <c r="R452" s="78">
        <v>474.31124824152386</v>
      </c>
      <c r="S452" s="78">
        <v>14.654799624666355</v>
      </c>
      <c r="T452" s="78">
        <v>601.96077691450466</v>
      </c>
      <c r="U452" s="78">
        <v>2.6716064738101508E-2</v>
      </c>
      <c r="V452" s="78">
        <v>127.64952867298081</v>
      </c>
      <c r="Y452" s="28"/>
      <c r="Z452" s="28"/>
      <c r="AK452" s="28"/>
      <c r="AS452" s="28"/>
      <c r="AT452" s="28"/>
    </row>
    <row r="453" spans="3:46" x14ac:dyDescent="0.15">
      <c r="C453" s="11">
        <v>5.0999671220779419E-3</v>
      </c>
      <c r="D453" s="11">
        <v>1.2371093034744263E-2</v>
      </c>
      <c r="E453" s="11">
        <v>0.61007755029557598</v>
      </c>
      <c r="F453" s="11">
        <v>0</v>
      </c>
      <c r="G453" s="11">
        <v>4.0748924016952515E-2</v>
      </c>
      <c r="H453" s="40">
        <v>4.3229366948833195E-4</v>
      </c>
      <c r="I453" s="40">
        <v>1.4953719949343549</v>
      </c>
      <c r="J453" s="59">
        <v>0</v>
      </c>
      <c r="K453" s="59">
        <v>4503.9900578558445</v>
      </c>
      <c r="L453" s="59">
        <v>0</v>
      </c>
      <c r="M453" s="11">
        <v>0.8893512487411499</v>
      </c>
      <c r="N453" s="11">
        <v>0.72292923927307129</v>
      </c>
      <c r="O453" s="11">
        <v>0.34288585186004639</v>
      </c>
      <c r="Q453" s="59">
        <v>15.544047223180584</v>
      </c>
      <c r="R453" s="78">
        <v>504.04728979297948</v>
      </c>
      <c r="S453" s="78">
        <v>15.576693718562819</v>
      </c>
      <c r="T453" s="78">
        <v>646.68463952069203</v>
      </c>
      <c r="U453" s="78">
        <v>3.2646495382234519E-2</v>
      </c>
      <c r="V453" s="78">
        <v>142.63734972771255</v>
      </c>
      <c r="Y453" s="28"/>
      <c r="Z453" s="28"/>
      <c r="AK453" s="28"/>
      <c r="AS453" s="28"/>
      <c r="AT453" s="28"/>
    </row>
    <row r="454" spans="3:46" x14ac:dyDescent="0.15">
      <c r="C454" s="11">
        <v>9.9966228008270264E-3</v>
      </c>
      <c r="D454" s="11">
        <v>4.279029369354248E-2</v>
      </c>
      <c r="E454" s="11">
        <v>0.27242719986654185</v>
      </c>
      <c r="F454" s="11">
        <v>0</v>
      </c>
      <c r="G454" s="11">
        <v>7.6666593551635742E-2</v>
      </c>
      <c r="H454" s="40">
        <v>5.4704273259697362E-4</v>
      </c>
      <c r="I454" s="40">
        <v>1.4510125273921091</v>
      </c>
      <c r="J454" s="59">
        <v>0</v>
      </c>
      <c r="K454" s="59">
        <v>4627.3809857666492</v>
      </c>
      <c r="L454" s="59">
        <v>0</v>
      </c>
      <c r="M454" s="11">
        <v>0.83744734525680542</v>
      </c>
      <c r="N454" s="11">
        <v>0.73122906684875488</v>
      </c>
      <c r="O454" s="11">
        <v>0.32197076082229614</v>
      </c>
      <c r="Q454" s="59">
        <v>14.556379583879231</v>
      </c>
      <c r="R454" s="78">
        <v>538.67510317823712</v>
      </c>
      <c r="S454" s="78">
        <v>14.620001576376337</v>
      </c>
      <c r="T454" s="78">
        <v>619.05035350375101</v>
      </c>
      <c r="U454" s="78">
        <v>6.3621992497106206E-2</v>
      </c>
      <c r="V454" s="78">
        <v>80.375250325513889</v>
      </c>
      <c r="Y454" s="28"/>
      <c r="Z454" s="28"/>
      <c r="AK454" s="28"/>
      <c r="AS454" s="28"/>
      <c r="AT454" s="28"/>
    </row>
    <row r="455" spans="3:46" x14ac:dyDescent="0.15">
      <c r="C455" s="11">
        <v>1.4090836048126221E-3</v>
      </c>
      <c r="D455" s="11">
        <v>3.2176017761230469E-2</v>
      </c>
      <c r="E455" s="11">
        <v>0.24259581476458641</v>
      </c>
      <c r="F455" s="11">
        <v>0</v>
      </c>
      <c r="G455" s="11">
        <v>2.3798733949661255E-2</v>
      </c>
      <c r="H455" s="40">
        <v>5.4788982324854548E-4</v>
      </c>
      <c r="I455" s="40">
        <v>1.4532832356853147</v>
      </c>
      <c r="J455" s="59">
        <v>0</v>
      </c>
      <c r="K455" s="59">
        <v>6282.0850871503353</v>
      </c>
      <c r="L455" s="59">
        <v>0</v>
      </c>
      <c r="M455" s="11">
        <v>0.8161238431930542</v>
      </c>
      <c r="N455" s="11">
        <v>0.71843469142913818</v>
      </c>
      <c r="O455" s="11">
        <v>0.30763071775436401</v>
      </c>
      <c r="Q455" s="59">
        <v>14.323915784997551</v>
      </c>
      <c r="R455" s="78">
        <v>550.58458336847536</v>
      </c>
      <c r="S455" s="78">
        <v>14.377672310315878</v>
      </c>
      <c r="T455" s="78">
        <v>617.6617048664416</v>
      </c>
      <c r="U455" s="78">
        <v>5.3756525318327419E-2</v>
      </c>
      <c r="V455" s="78">
        <v>67.077121497966232</v>
      </c>
      <c r="Y455" s="28"/>
      <c r="Z455" s="28"/>
      <c r="AK455" s="28"/>
      <c r="AS455" s="28"/>
      <c r="AT455" s="28"/>
    </row>
    <row r="456" spans="3:46" x14ac:dyDescent="0.15">
      <c r="C456" s="11">
        <v>4.7771930694580078E-3</v>
      </c>
      <c r="D456" s="11">
        <v>2.080969512462616E-2</v>
      </c>
      <c r="E456" s="11">
        <v>0.14648825035726912</v>
      </c>
      <c r="F456" s="11">
        <v>0</v>
      </c>
      <c r="G456" s="11">
        <v>6.0468554496765137E-2</v>
      </c>
      <c r="H456" s="40">
        <v>3.9284402674564053E-4</v>
      </c>
      <c r="I456" s="40">
        <v>1.4479099300283056</v>
      </c>
      <c r="J456" s="59">
        <v>0</v>
      </c>
      <c r="K456" s="59">
        <v>4965.6210467219353</v>
      </c>
      <c r="L456" s="59">
        <v>0</v>
      </c>
      <c r="M456" s="11">
        <v>0.83711427450180054</v>
      </c>
      <c r="N456" s="11">
        <v>0.69450891017913818</v>
      </c>
      <c r="O456" s="11">
        <v>0.35678839683532715</v>
      </c>
      <c r="Q456" s="59">
        <v>14.65321362566366</v>
      </c>
      <c r="R456" s="78">
        <v>499.56335040420731</v>
      </c>
      <c r="S456" s="78">
        <v>14.706484145023953</v>
      </c>
      <c r="T456" s="78">
        <v>594.67473316107214</v>
      </c>
      <c r="U456" s="78">
        <v>5.3270519360292923E-2</v>
      </c>
      <c r="V456" s="78">
        <v>95.111382756864828</v>
      </c>
      <c r="Y456" s="28"/>
      <c r="Z456" s="28"/>
      <c r="AK456" s="28"/>
      <c r="AS456" s="28"/>
      <c r="AT456" s="28"/>
    </row>
    <row r="457" spans="3:46" x14ac:dyDescent="0.15">
      <c r="C457" s="11">
        <v>5.1581144332885742E-2</v>
      </c>
      <c r="D457" s="11">
        <v>1.7878115177154541E-3</v>
      </c>
      <c r="E457" s="11">
        <v>0.58203484315197951</v>
      </c>
      <c r="F457" s="11">
        <v>0</v>
      </c>
      <c r="G457" s="11">
        <v>3.4689038991928101E-2</v>
      </c>
      <c r="H457" s="40">
        <v>3.4363155262071335E-4</v>
      </c>
      <c r="I457" s="40">
        <v>1.5157577116102154</v>
      </c>
      <c r="J457" s="59">
        <v>0</v>
      </c>
      <c r="K457" s="59">
        <v>4114.7717274725437</v>
      </c>
      <c r="L457" s="59">
        <v>0</v>
      </c>
      <c r="M457" s="11">
        <v>0.87562280893325806</v>
      </c>
      <c r="N457" s="11">
        <v>0.72620469331741333</v>
      </c>
      <c r="O457" s="11">
        <v>0.33318918943405151</v>
      </c>
      <c r="Q457" s="59">
        <v>14.608128940564063</v>
      </c>
      <c r="R457" s="78">
        <v>472.83229283640622</v>
      </c>
      <c r="S457" s="78">
        <v>14.633201103787906</v>
      </c>
      <c r="T457" s="78">
        <v>625.2281087601117</v>
      </c>
      <c r="U457" s="78">
        <v>2.5072163223843091E-2</v>
      </c>
      <c r="V457" s="78">
        <v>152.39581592370547</v>
      </c>
      <c r="Y457" s="28"/>
      <c r="Z457" s="28"/>
      <c r="AK457" s="28"/>
      <c r="AS457" s="28"/>
      <c r="AT457" s="28"/>
    </row>
    <row r="458" spans="3:46" x14ac:dyDescent="0.15">
      <c r="C458" s="11">
        <v>1.5837252140045166E-2</v>
      </c>
      <c r="D458" s="11">
        <v>7.6626390218734741E-3</v>
      </c>
      <c r="E458" s="11">
        <v>0.28233698025421577</v>
      </c>
      <c r="F458" s="11">
        <v>0</v>
      </c>
      <c r="G458" s="11">
        <v>1.9517779350280762E-2</v>
      </c>
      <c r="H458" s="40">
        <v>4.2372044788206384E-4</v>
      </c>
      <c r="I458" s="40">
        <v>1.5202466390193632</v>
      </c>
      <c r="J458" s="59">
        <v>0</v>
      </c>
      <c r="K458" s="59">
        <v>4427.1373189985752</v>
      </c>
      <c r="L458" s="59">
        <v>0</v>
      </c>
      <c r="M458" s="11">
        <v>0.85001963376998901</v>
      </c>
      <c r="N458" s="11">
        <v>0.77282595634460449</v>
      </c>
      <c r="O458" s="11">
        <v>0.34407973289489746</v>
      </c>
      <c r="Q458" s="59">
        <v>14.724994244139243</v>
      </c>
      <c r="R458" s="78">
        <v>494.40049983506162</v>
      </c>
      <c r="S458" s="78">
        <v>14.761748307808713</v>
      </c>
      <c r="T458" s="78">
        <v>607.81528120555515</v>
      </c>
      <c r="U458" s="78">
        <v>3.6754063669469872E-2</v>
      </c>
      <c r="V458" s="78">
        <v>113.41478137049353</v>
      </c>
      <c r="Y458" s="28"/>
      <c r="Z458" s="28"/>
      <c r="AK458" s="28"/>
      <c r="AS458" s="28"/>
      <c r="AT458" s="28"/>
    </row>
    <row r="459" spans="3:46" x14ac:dyDescent="0.15">
      <c r="C459" s="11">
        <v>1.5205591917037964E-2</v>
      </c>
      <c r="D459" s="11">
        <v>9.831547737121582E-3</v>
      </c>
      <c r="E459" s="11">
        <v>0.21492878989610784</v>
      </c>
      <c r="F459" s="11">
        <v>0</v>
      </c>
      <c r="G459" s="11">
        <v>2.3325294256210327E-2</v>
      </c>
      <c r="H459" s="40">
        <v>6.9044870345308059E-4</v>
      </c>
      <c r="I459" s="40">
        <v>1.3147210154166167</v>
      </c>
      <c r="J459" s="59">
        <v>0</v>
      </c>
      <c r="K459" s="59">
        <v>5963.4377248585224</v>
      </c>
      <c r="L459" s="59">
        <v>0</v>
      </c>
      <c r="M459" s="11">
        <v>0.83030015230178833</v>
      </c>
      <c r="N459" s="11">
        <v>0.68937397003173828</v>
      </c>
      <c r="O459" s="11">
        <v>0.25914692878723145</v>
      </c>
      <c r="Q459" s="59">
        <v>14.374830882276477</v>
      </c>
      <c r="R459" s="78">
        <v>517.65623347293854</v>
      </c>
      <c r="S459" s="78">
        <v>14.428163337846501</v>
      </c>
      <c r="T459" s="78">
        <v>605.95814386209827</v>
      </c>
      <c r="U459" s="78">
        <v>5.333245557002364E-2</v>
      </c>
      <c r="V459" s="78">
        <v>88.30191038915973</v>
      </c>
      <c r="Y459" s="28"/>
      <c r="Z459" s="28"/>
      <c r="AK459" s="28"/>
      <c r="AS459" s="28"/>
      <c r="AT459" s="28"/>
    </row>
    <row r="460" spans="3:46" x14ac:dyDescent="0.15">
      <c r="C460" s="11">
        <v>1.5721738338470459E-2</v>
      </c>
      <c r="D460" s="11">
        <v>1.3970449566841125E-2</v>
      </c>
      <c r="E460" s="11">
        <v>0.15530336239147294</v>
      </c>
      <c r="F460" s="11">
        <v>0</v>
      </c>
      <c r="G460" s="11">
        <v>6.7255616188049316E-2</v>
      </c>
      <c r="H460" s="40">
        <v>6.0895588164780814E-4</v>
      </c>
      <c r="I460" s="40">
        <v>1.3950857812476902</v>
      </c>
      <c r="J460" s="59">
        <v>0</v>
      </c>
      <c r="K460" s="59">
        <v>5013.8507504016161</v>
      </c>
      <c r="L460" s="59">
        <v>0</v>
      </c>
      <c r="M460" s="11">
        <v>0.83106076717376709</v>
      </c>
      <c r="N460" s="11">
        <v>0.73315691947937012</v>
      </c>
      <c r="O460" s="11">
        <v>0.32513344287872314</v>
      </c>
      <c r="Q460" s="59">
        <v>14.381825805616479</v>
      </c>
      <c r="R460" s="78">
        <v>538.05503568633753</v>
      </c>
      <c r="S460" s="78">
        <v>14.438119108219411</v>
      </c>
      <c r="T460" s="78">
        <v>601.75927311316218</v>
      </c>
      <c r="U460" s="78">
        <v>5.6293302602931306E-2</v>
      </c>
      <c r="V460" s="78">
        <v>63.704237426824648</v>
      </c>
      <c r="Y460" s="28"/>
      <c r="Z460" s="28"/>
      <c r="AK460" s="28"/>
      <c r="AS460" s="28"/>
      <c r="AT460" s="28"/>
    </row>
    <row r="461" spans="3:46" x14ac:dyDescent="0.15">
      <c r="C461" s="11">
        <v>5.0349235534667969E-2</v>
      </c>
      <c r="D461" s="11">
        <v>3.1307041645050049E-2</v>
      </c>
      <c r="E461" s="11">
        <v>0.2820744444705251</v>
      </c>
      <c r="F461" s="11">
        <v>0</v>
      </c>
      <c r="G461" s="11">
        <v>4.9484908580780029E-2</v>
      </c>
      <c r="H461" s="40">
        <v>3.8621014202958016E-4</v>
      </c>
      <c r="I461" s="40">
        <v>1.5321067110248596</v>
      </c>
      <c r="J461" s="59">
        <v>0</v>
      </c>
      <c r="K461" s="59">
        <v>4758.4273852407932</v>
      </c>
      <c r="L461" s="59">
        <v>0</v>
      </c>
      <c r="M461" s="11">
        <v>0.82107335329055786</v>
      </c>
      <c r="N461" s="11">
        <v>0.69544041156768799</v>
      </c>
      <c r="O461" s="11">
        <v>0.29336145520210266</v>
      </c>
      <c r="Q461" s="59">
        <v>13.69872385632169</v>
      </c>
      <c r="R461" s="78">
        <v>508.51449061543241</v>
      </c>
      <c r="S461" s="78">
        <v>13.75158867519858</v>
      </c>
      <c r="T461" s="78">
        <v>611.79412871820693</v>
      </c>
      <c r="U461" s="78">
        <v>5.286481887688943E-2</v>
      </c>
      <c r="V461" s="78">
        <v>103.27963810277453</v>
      </c>
      <c r="Y461" s="28"/>
      <c r="Z461" s="28"/>
      <c r="AK461" s="28"/>
      <c r="AS461" s="28"/>
      <c r="AT461" s="28"/>
    </row>
    <row r="462" spans="3:46" x14ac:dyDescent="0.15">
      <c r="C462" s="11">
        <v>1.6534894704818726E-2</v>
      </c>
      <c r="D462" s="11">
        <v>1.8541783094406128E-2</v>
      </c>
      <c r="E462" s="11">
        <v>0.19676566272847099</v>
      </c>
      <c r="F462" s="11">
        <v>0</v>
      </c>
      <c r="G462" s="11">
        <v>6.2216401100158691E-2</v>
      </c>
      <c r="H462" s="40">
        <v>7.3442329248990241E-4</v>
      </c>
      <c r="I462" s="40">
        <v>1.4650479214436061</v>
      </c>
      <c r="J462" s="59">
        <v>0</v>
      </c>
      <c r="K462" s="59">
        <v>4504.3672434985638</v>
      </c>
      <c r="L462" s="59">
        <v>0</v>
      </c>
      <c r="M462" s="11">
        <v>0.80156707763671875</v>
      </c>
      <c r="N462" s="11">
        <v>0.75647616386413574</v>
      </c>
      <c r="O462" s="11">
        <v>0.33744657039642334</v>
      </c>
      <c r="Q462" s="59">
        <v>13.853465809820154</v>
      </c>
      <c r="R462" s="78">
        <v>578.7170115632847</v>
      </c>
      <c r="S462" s="78">
        <v>13.910041045340924</v>
      </c>
      <c r="T462" s="78">
        <v>616.2678642076836</v>
      </c>
      <c r="U462" s="78">
        <v>5.6575235520769596E-2</v>
      </c>
      <c r="V462" s="78">
        <v>37.550852644398901</v>
      </c>
      <c r="Y462" s="28"/>
      <c r="Z462" s="28"/>
      <c r="AK462" s="28"/>
      <c r="AS462" s="28"/>
      <c r="AT462" s="28"/>
    </row>
    <row r="463" spans="3:46" x14ac:dyDescent="0.15">
      <c r="C463" s="11">
        <v>1.6248419880867004E-2</v>
      </c>
      <c r="D463" s="11">
        <v>3.3087551593780518E-2</v>
      </c>
      <c r="E463" s="11">
        <v>0.44093108520617086</v>
      </c>
      <c r="F463" s="11">
        <v>0</v>
      </c>
      <c r="G463" s="11">
        <v>5.2553951740264893E-2</v>
      </c>
      <c r="H463" s="40">
        <v>6.2371514512459176E-4</v>
      </c>
      <c r="I463" s="40">
        <v>1.4489051963990773</v>
      </c>
      <c r="J463" s="59">
        <v>0</v>
      </c>
      <c r="K463" s="59">
        <v>7413.6164039373398</v>
      </c>
      <c r="L463" s="59">
        <v>0</v>
      </c>
      <c r="M463" s="11">
        <v>0.87076050043106079</v>
      </c>
      <c r="N463" s="11">
        <v>0.75872993469238281</v>
      </c>
      <c r="O463" s="11">
        <v>0.33077245950698853</v>
      </c>
      <c r="Q463" s="59">
        <v>15.036929978593484</v>
      </c>
      <c r="R463" s="78">
        <v>630.07502443881276</v>
      </c>
      <c r="S463" s="78">
        <v>15.088748010926698</v>
      </c>
      <c r="T463" s="78">
        <v>684.57330941742055</v>
      </c>
      <c r="U463" s="78">
        <v>5.1818032333214248E-2</v>
      </c>
      <c r="V463" s="78">
        <v>54.498284978607785</v>
      </c>
      <c r="Y463" s="28"/>
      <c r="Z463" s="28"/>
      <c r="AK463" s="28"/>
      <c r="AS463" s="28"/>
      <c r="AT463" s="28"/>
    </row>
    <row r="464" spans="3:46" x14ac:dyDescent="0.15">
      <c r="C464" s="11">
        <v>1.4550670981407166E-2</v>
      </c>
      <c r="D464" s="11">
        <v>1.5888720750808716E-2</v>
      </c>
      <c r="E464" s="11">
        <v>0.31234005678949339</v>
      </c>
      <c r="F464" s="11">
        <v>0</v>
      </c>
      <c r="G464" s="11">
        <v>2.5534123182296753E-2</v>
      </c>
      <c r="H464" s="40">
        <v>4.4520040458666629E-4</v>
      </c>
      <c r="I464" s="40">
        <v>1.4336926603916877</v>
      </c>
      <c r="J464" s="59">
        <v>0</v>
      </c>
      <c r="K464" s="59">
        <v>5667.7684187889099</v>
      </c>
      <c r="L464" s="59">
        <v>0</v>
      </c>
      <c r="M464" s="11">
        <v>0.82878315448760986</v>
      </c>
      <c r="N464" s="11">
        <v>0.73555326461791992</v>
      </c>
      <c r="O464" s="11">
        <v>0.27350795269012451</v>
      </c>
      <c r="Q464" s="59">
        <v>14.375186920567751</v>
      </c>
      <c r="R464" s="78">
        <v>502.90111804308185</v>
      </c>
      <c r="S464" s="78">
        <v>14.41008534923146</v>
      </c>
      <c r="T464" s="78">
        <v>613.42937042623339</v>
      </c>
      <c r="U464" s="78">
        <v>3.4898428663709069E-2</v>
      </c>
      <c r="V464" s="78">
        <v>110.52825238315154</v>
      </c>
      <c r="Y464" s="28"/>
      <c r="Z464" s="28"/>
      <c r="AK464" s="28"/>
      <c r="AS464" s="28"/>
      <c r="AT464" s="28"/>
    </row>
    <row r="465" spans="3:46" x14ac:dyDescent="0.15">
      <c r="C465" s="11">
        <v>1.0357111692428589E-2</v>
      </c>
      <c r="D465" s="11">
        <v>1.3499334454536438E-2</v>
      </c>
      <c r="E465" s="11">
        <v>0.4140409731030254</v>
      </c>
      <c r="F465" s="11">
        <v>0</v>
      </c>
      <c r="G465" s="11">
        <v>1.4403045177459717E-2</v>
      </c>
      <c r="H465" s="40">
        <v>3.8469802453245283E-4</v>
      </c>
      <c r="I465" s="40">
        <v>1.4873546821212815</v>
      </c>
      <c r="J465" s="59">
        <v>0</v>
      </c>
      <c r="K465" s="59">
        <v>7436.3406747579575</v>
      </c>
      <c r="L465" s="59">
        <v>0</v>
      </c>
      <c r="M465" s="11">
        <v>0.81592869758605957</v>
      </c>
      <c r="N465" s="11">
        <v>0.78785556554794312</v>
      </c>
      <c r="O465" s="11">
        <v>0.28871959447860718</v>
      </c>
      <c r="Q465" s="59">
        <v>14.232706767362586</v>
      </c>
      <c r="R465" s="78">
        <v>529.92553399817257</v>
      </c>
      <c r="S465" s="78">
        <v>14.250259533348389</v>
      </c>
      <c r="T465" s="78">
        <v>635.89633180105068</v>
      </c>
      <c r="U465" s="78">
        <v>1.755276598580302E-2</v>
      </c>
      <c r="V465" s="78">
        <v>105.97079780287811</v>
      </c>
      <c r="Y465" s="28"/>
      <c r="Z465" s="28"/>
      <c r="AK465" s="28"/>
      <c r="AS465" s="28"/>
      <c r="AT465" s="28"/>
    </row>
    <row r="466" spans="3:46" x14ac:dyDescent="0.15">
      <c r="C466" s="11">
        <v>1.7484977841377258E-2</v>
      </c>
      <c r="D466" s="11">
        <v>2.8756171464920044E-2</v>
      </c>
      <c r="E466" s="11">
        <v>0.21456780282117682</v>
      </c>
      <c r="F466" s="11">
        <v>0</v>
      </c>
      <c r="G466" s="11">
        <v>6.1945557594299316E-2</v>
      </c>
      <c r="H466" s="40">
        <v>5.7454148330727964E-4</v>
      </c>
      <c r="I466" s="40">
        <v>1.3892757130795965</v>
      </c>
      <c r="J466" s="59">
        <v>0</v>
      </c>
      <c r="K466" s="59">
        <v>5471.1336269974709</v>
      </c>
      <c r="L466" s="59">
        <v>0</v>
      </c>
      <c r="M466" s="11">
        <v>0.86224633455276489</v>
      </c>
      <c r="N466" s="11">
        <v>0.78533178567886353</v>
      </c>
      <c r="O466" s="11">
        <v>0.2951473593711853</v>
      </c>
      <c r="Q466" s="59">
        <v>14.90032214074899</v>
      </c>
      <c r="R466" s="78">
        <v>535.5722797055098</v>
      </c>
      <c r="S466" s="78">
        <v>14.950137784511986</v>
      </c>
      <c r="T466" s="78">
        <v>609.83050032250333</v>
      </c>
      <c r="U466" s="78">
        <v>4.9815643762995521E-2</v>
      </c>
      <c r="V466" s="78">
        <v>74.258220616993526</v>
      </c>
      <c r="Y466" s="28"/>
      <c r="Z466" s="28"/>
      <c r="AK466" s="28"/>
      <c r="AS466" s="28"/>
      <c r="AT466" s="28"/>
    </row>
    <row r="467" spans="3:46" x14ac:dyDescent="0.15">
      <c r="C467" s="11">
        <v>6.6632479429244995E-3</v>
      </c>
      <c r="D467" s="11">
        <v>2.4503886699676514E-2</v>
      </c>
      <c r="E467" s="11">
        <v>0.29886861524783936</v>
      </c>
      <c r="F467" s="11">
        <v>0</v>
      </c>
      <c r="G467" s="11">
        <v>3.1778424978256226E-2</v>
      </c>
      <c r="H467" s="40">
        <v>3.6576713497606301E-4</v>
      </c>
      <c r="I467" s="40">
        <v>1.4913607266040396</v>
      </c>
      <c r="J467" s="59">
        <v>0</v>
      </c>
      <c r="K467" s="59">
        <v>6431.4203336834908</v>
      </c>
      <c r="L467" s="59">
        <v>0</v>
      </c>
      <c r="M467" s="11">
        <v>0.89112216234207153</v>
      </c>
      <c r="N467" s="11">
        <v>0.72455757856369019</v>
      </c>
      <c r="O467" s="11">
        <v>0.25955748558044434</v>
      </c>
      <c r="Q467" s="59">
        <v>15.558929423461255</v>
      </c>
      <c r="R467" s="78">
        <v>519.27979175750818</v>
      </c>
      <c r="S467" s="78">
        <v>15.61230792678028</v>
      </c>
      <c r="T467" s="78">
        <v>616.90779225067661</v>
      </c>
      <c r="U467" s="78">
        <v>5.3378503319025938E-2</v>
      </c>
      <c r="V467" s="78">
        <v>97.628000493168429</v>
      </c>
      <c r="Y467" s="28"/>
      <c r="Z467" s="28"/>
      <c r="AK467" s="28"/>
      <c r="AS467" s="28"/>
      <c r="AT467" s="28"/>
    </row>
    <row r="468" spans="3:46" x14ac:dyDescent="0.15">
      <c r="C468" s="11">
        <v>2.2194981575012207E-2</v>
      </c>
      <c r="D468" s="11">
        <v>2.4592041969299316E-2</v>
      </c>
      <c r="E468" s="11">
        <v>0.25645639837378781</v>
      </c>
      <c r="F468" s="11">
        <v>0</v>
      </c>
      <c r="G468" s="11">
        <v>3.7353217601776123E-2</v>
      </c>
      <c r="H468" s="40">
        <v>5.1751463455729685E-4</v>
      </c>
      <c r="I468" s="40">
        <v>1.4094011606025809</v>
      </c>
      <c r="J468" s="59">
        <v>0</v>
      </c>
      <c r="K468" s="59">
        <v>4116.7810559272766</v>
      </c>
      <c r="L468" s="59">
        <v>0</v>
      </c>
      <c r="M468" s="11">
        <v>0.83186709880828857</v>
      </c>
      <c r="N468" s="11">
        <v>0.80357623100280762</v>
      </c>
      <c r="O468" s="11">
        <v>0.31660586595535278</v>
      </c>
      <c r="Q468" s="59">
        <v>14.329073863730105</v>
      </c>
      <c r="R468" s="78">
        <v>484.30025653418471</v>
      </c>
      <c r="S468" s="78">
        <v>14.357569329924997</v>
      </c>
      <c r="T468" s="78">
        <v>602.48077481241751</v>
      </c>
      <c r="U468" s="78">
        <v>2.8495466194891961E-2</v>
      </c>
      <c r="V468" s="78">
        <v>118.1805182782328</v>
      </c>
      <c r="Y468" s="28"/>
      <c r="Z468" s="28"/>
      <c r="AK468" s="28"/>
      <c r="AS468" s="28"/>
      <c r="AT468" s="28"/>
    </row>
    <row r="469" spans="3:46" x14ac:dyDescent="0.15">
      <c r="C469" s="11">
        <v>2.666020393371582E-2</v>
      </c>
      <c r="D469" s="11">
        <v>3.5216331481933594E-2</v>
      </c>
      <c r="E469" s="11">
        <v>0.34420459301835848</v>
      </c>
      <c r="F469" s="11">
        <v>0</v>
      </c>
      <c r="G469" s="11">
        <v>4.8538058996200562E-2</v>
      </c>
      <c r="H469" s="40">
        <v>3.6109541051507432E-4</v>
      </c>
      <c r="I469" s="40">
        <v>1.454061844660296</v>
      </c>
      <c r="J469" s="59">
        <v>0</v>
      </c>
      <c r="K469" s="59">
        <v>3839.9826735258102</v>
      </c>
      <c r="L469" s="59">
        <v>0</v>
      </c>
      <c r="M469" s="11">
        <v>0.88273447751998901</v>
      </c>
      <c r="N469" s="11">
        <v>0.76563876867294312</v>
      </c>
      <c r="O469" s="11">
        <v>0.33293282985687256</v>
      </c>
      <c r="Q469" s="59">
        <v>15.119619302288916</v>
      </c>
      <c r="R469" s="78">
        <v>464.47425363389567</v>
      </c>
      <c r="S469" s="78">
        <v>15.156734564775567</v>
      </c>
      <c r="T469" s="78">
        <v>603.49822771333572</v>
      </c>
      <c r="U469" s="78">
        <v>3.7115262486651091E-2</v>
      </c>
      <c r="V469" s="78">
        <v>139.02397407944005</v>
      </c>
      <c r="Y469" s="28"/>
      <c r="Z469" s="28"/>
      <c r="AK469" s="28"/>
      <c r="AS469" s="28"/>
      <c r="AT469" s="28"/>
    </row>
    <row r="470" spans="3:46" x14ac:dyDescent="0.15">
      <c r="C470" s="11">
        <v>2.2307038307189941E-3</v>
      </c>
      <c r="D470" s="11">
        <v>2.4474829435348511E-2</v>
      </c>
      <c r="E470" s="11">
        <v>0.31396324613691584</v>
      </c>
      <c r="F470" s="11">
        <v>0</v>
      </c>
      <c r="G470" s="11">
        <v>7.6782703399658203E-2</v>
      </c>
      <c r="H470" s="40">
        <v>3.7803415072542912E-4</v>
      </c>
      <c r="I470" s="40">
        <v>1.4674738969500081</v>
      </c>
      <c r="J470" s="59">
        <v>0</v>
      </c>
      <c r="K470" s="59">
        <v>4417.0953333377838</v>
      </c>
      <c r="L470" s="59">
        <v>0</v>
      </c>
      <c r="M470" s="11">
        <v>0.86687028408050537</v>
      </c>
      <c r="N470" s="11">
        <v>0.78149479627609253</v>
      </c>
      <c r="O470" s="11">
        <v>0.3133920431137085</v>
      </c>
      <c r="Q470" s="59">
        <v>15.221416494736093</v>
      </c>
      <c r="R470" s="78">
        <v>496.46436458079512</v>
      </c>
      <c r="S470" s="78">
        <v>15.259913578119576</v>
      </c>
      <c r="T470" s="78">
        <v>611.52846657696102</v>
      </c>
      <c r="U470" s="78">
        <v>3.8497083383482789E-2</v>
      </c>
      <c r="V470" s="78">
        <v>115.0641019961659</v>
      </c>
      <c r="Y470" s="28"/>
      <c r="Z470" s="28"/>
      <c r="AK470" s="28"/>
      <c r="AS470" s="28"/>
      <c r="AT470" s="28"/>
    </row>
    <row r="471" spans="3:46" x14ac:dyDescent="0.15">
      <c r="C471" s="11">
        <v>4.4687986373901367E-2</v>
      </c>
      <c r="D471" s="11">
        <v>5.6960821151733398E-2</v>
      </c>
      <c r="E471" s="11">
        <v>0.15467013876805466</v>
      </c>
      <c r="F471" s="11">
        <v>0</v>
      </c>
      <c r="G471" s="11">
        <v>5.3764104843139648E-2</v>
      </c>
      <c r="H471" s="40">
        <v>5.1962543824906075E-4</v>
      </c>
      <c r="I471" s="40">
        <v>1.3623128098089567</v>
      </c>
      <c r="J471" s="59">
        <v>0</v>
      </c>
      <c r="K471" s="59">
        <v>6629.4451244175434</v>
      </c>
      <c r="L471" s="59">
        <v>0</v>
      </c>
      <c r="M471" s="11">
        <v>0.81925022602081299</v>
      </c>
      <c r="N471" s="11">
        <v>0.77504110336303711</v>
      </c>
      <c r="O471" s="11">
        <v>0.30934828519821167</v>
      </c>
      <c r="Q471" s="59">
        <v>13.776387850400585</v>
      </c>
      <c r="R471" s="78">
        <v>527.50457830016933</v>
      </c>
      <c r="S471" s="78">
        <v>13.816702962739994</v>
      </c>
      <c r="T471" s="78">
        <v>599.92505691684414</v>
      </c>
      <c r="U471" s="78">
        <v>4.0315112339408543E-2</v>
      </c>
      <c r="V471" s="78">
        <v>72.420478616674814</v>
      </c>
      <c r="Y471" s="28"/>
      <c r="Z471" s="28"/>
      <c r="AK471" s="28"/>
      <c r="AS471" s="28"/>
      <c r="AT471" s="28"/>
    </row>
    <row r="472" spans="3:46" x14ac:dyDescent="0.15">
      <c r="C472" s="11">
        <v>1.7286390066146851E-2</v>
      </c>
      <c r="D472" s="11">
        <v>2.0355165004730225E-2</v>
      </c>
      <c r="E472" s="11">
        <v>0.21468512765631603</v>
      </c>
      <c r="F472" s="11">
        <v>0</v>
      </c>
      <c r="G472" s="11">
        <v>2.8339982032775879E-2</v>
      </c>
      <c r="H472" s="40">
        <v>4.1642374820131039E-4</v>
      </c>
      <c r="I472" s="40">
        <v>1.4815619789390195</v>
      </c>
      <c r="J472" s="59">
        <v>0</v>
      </c>
      <c r="K472" s="59">
        <v>6178.7571758031845</v>
      </c>
      <c r="L472" s="59">
        <v>0</v>
      </c>
      <c r="M472" s="11">
        <v>0.86860492825508118</v>
      </c>
      <c r="N472" s="11">
        <v>0.73971879482269287</v>
      </c>
      <c r="O472" s="11">
        <v>0.29365116357803345</v>
      </c>
      <c r="Q472" s="59">
        <v>15.009159730290365</v>
      </c>
      <c r="R472" s="78">
        <v>523.16310248454056</v>
      </c>
      <c r="S472" s="78">
        <v>15.062531807221832</v>
      </c>
      <c r="T472" s="78">
        <v>607.15624604258733</v>
      </c>
      <c r="U472" s="78">
        <v>5.337207693146695E-2</v>
      </c>
      <c r="V472" s="78">
        <v>83.993143558046768</v>
      </c>
      <c r="Y472" s="28"/>
      <c r="Z472" s="28"/>
      <c r="AK472" s="28"/>
      <c r="AS472" s="28"/>
      <c r="AT472" s="28"/>
    </row>
    <row r="473" spans="3:46" x14ac:dyDescent="0.15">
      <c r="C473" s="11">
        <v>4.3459534645080566E-3</v>
      </c>
      <c r="D473" s="11">
        <v>1.2285947799682617E-2</v>
      </c>
      <c r="E473" s="11">
        <v>0.24936322392041949</v>
      </c>
      <c r="F473" s="11">
        <v>0</v>
      </c>
      <c r="G473" s="11">
        <v>1.6695111989974976E-2</v>
      </c>
      <c r="H473" s="40">
        <v>6.1137547935628421E-4</v>
      </c>
      <c r="I473" s="40">
        <v>1.3449158707561253</v>
      </c>
      <c r="J473" s="59">
        <v>0</v>
      </c>
      <c r="K473" s="59">
        <v>4215.2986861765385</v>
      </c>
      <c r="L473" s="59">
        <v>0</v>
      </c>
      <c r="M473" s="11">
        <v>0.88181817531585693</v>
      </c>
      <c r="N473" s="11">
        <v>0.65769863128662109</v>
      </c>
      <c r="O473" s="11">
        <v>0.31556910276412964</v>
      </c>
      <c r="Q473" s="59">
        <v>15.416804602754937</v>
      </c>
      <c r="R473" s="78">
        <v>476.13619238873417</v>
      </c>
      <c r="S473" s="78">
        <v>15.485199893746064</v>
      </c>
      <c r="T473" s="78">
        <v>599.75984243504797</v>
      </c>
      <c r="U473" s="78">
        <v>6.8395290991126956E-2</v>
      </c>
      <c r="V473" s="78">
        <v>123.6236500463138</v>
      </c>
      <c r="Y473" s="28"/>
      <c r="Z473" s="28"/>
      <c r="AK473" s="28"/>
      <c r="AS473" s="28"/>
      <c r="AT473" s="28"/>
    </row>
    <row r="474" spans="3:46" x14ac:dyDescent="0.15">
      <c r="C474" s="11">
        <v>8.8304430246353149E-3</v>
      </c>
      <c r="D474" s="11">
        <v>2.4609118700027466E-2</v>
      </c>
      <c r="E474" s="11">
        <v>0.30996335716573836</v>
      </c>
      <c r="F474" s="11">
        <v>0</v>
      </c>
      <c r="G474" s="11">
        <v>2.9004067182540894E-2</v>
      </c>
      <c r="H474" s="40">
        <v>4.1684466005620379E-4</v>
      </c>
      <c r="I474" s="40">
        <v>1.4585520823041602</v>
      </c>
      <c r="J474" s="59">
        <v>0</v>
      </c>
      <c r="K474" s="59">
        <v>6009.3891806900501</v>
      </c>
      <c r="L474" s="59">
        <v>0</v>
      </c>
      <c r="M474" s="11">
        <v>0.84390270709991455</v>
      </c>
      <c r="N474" s="11">
        <v>0.75694054365158081</v>
      </c>
      <c r="O474" s="11">
        <v>0.2638542652130127</v>
      </c>
      <c r="Q474" s="59">
        <v>14.720665932690489</v>
      </c>
      <c r="R474" s="78">
        <v>513.03306187716817</v>
      </c>
      <c r="S474" s="78">
        <v>14.757716067544846</v>
      </c>
      <c r="T474" s="78">
        <v>616.35583222303421</v>
      </c>
      <c r="U474" s="78">
        <v>3.7050134854357708E-2</v>
      </c>
      <c r="V474" s="78">
        <v>103.32277034586605</v>
      </c>
      <c r="Y474" s="28"/>
      <c r="Z474" s="28"/>
      <c r="AK474" s="28"/>
      <c r="AS474" s="28"/>
      <c r="AT474" s="28"/>
    </row>
    <row r="475" spans="3:46" x14ac:dyDescent="0.15">
      <c r="C475" s="11">
        <v>9.0149641036987305E-3</v>
      </c>
      <c r="D475" s="11">
        <v>1.3333901762962341E-2</v>
      </c>
      <c r="E475" s="11">
        <v>0.19748164136032767</v>
      </c>
      <c r="F475" s="11">
        <v>0</v>
      </c>
      <c r="G475" s="11">
        <v>1.7411917448043823E-2</v>
      </c>
      <c r="H475" s="40">
        <v>4.6888798900546799E-4</v>
      </c>
      <c r="I475" s="40">
        <v>1.4466366463567932</v>
      </c>
      <c r="J475" s="59">
        <v>0</v>
      </c>
      <c r="K475" s="59">
        <v>6629.7966986894608</v>
      </c>
      <c r="L475" s="59">
        <v>0</v>
      </c>
      <c r="M475" s="11">
        <v>0.82603359222412109</v>
      </c>
      <c r="N475" s="11">
        <v>0.73890316486358643</v>
      </c>
      <c r="O475" s="11">
        <v>0.33473896980285645</v>
      </c>
      <c r="Q475" s="59">
        <v>14.409381764953901</v>
      </c>
      <c r="R475" s="78">
        <v>527.43979442152192</v>
      </c>
      <c r="S475" s="78">
        <v>14.44916152448979</v>
      </c>
      <c r="T475" s="78">
        <v>605.77032681687615</v>
      </c>
      <c r="U475" s="78">
        <v>3.9779759535889525E-2</v>
      </c>
      <c r="V475" s="78">
        <v>78.330532395354226</v>
      </c>
      <c r="Y475" s="28"/>
      <c r="Z475" s="28"/>
      <c r="AK475" s="28"/>
      <c r="AS475" s="28"/>
      <c r="AT475" s="28"/>
    </row>
    <row r="476" spans="3:46" x14ac:dyDescent="0.15">
      <c r="C476" s="11">
        <v>1.7617940902709961E-2</v>
      </c>
      <c r="D476" s="11">
        <v>1.2264564633369446E-2</v>
      </c>
      <c r="E476" s="11">
        <v>0.29999102786083448</v>
      </c>
      <c r="F476" s="11">
        <v>0</v>
      </c>
      <c r="G476" s="11">
        <v>5.8003604412078857E-2</v>
      </c>
      <c r="H476" s="40">
        <v>5.0895877834667639E-4</v>
      </c>
      <c r="I476" s="40">
        <v>1.39046318032396</v>
      </c>
      <c r="J476" s="59">
        <v>0</v>
      </c>
      <c r="K476" s="59">
        <v>3993.6765097081661</v>
      </c>
      <c r="L476" s="59">
        <v>0</v>
      </c>
      <c r="M476" s="11">
        <v>0.86560040712356567</v>
      </c>
      <c r="N476" s="11">
        <v>0.78892719745635986</v>
      </c>
      <c r="O476" s="11">
        <v>0.28875195980072021</v>
      </c>
      <c r="Q476" s="59">
        <v>14.968926449423137</v>
      </c>
      <c r="R476" s="78">
        <v>485.03239001359611</v>
      </c>
      <c r="S476" s="78">
        <v>15.004621218461237</v>
      </c>
      <c r="T476" s="78">
        <v>606.63246035430552</v>
      </c>
      <c r="U476" s="78">
        <v>3.5694769038100205E-2</v>
      </c>
      <c r="V476" s="78">
        <v>121.60007034070941</v>
      </c>
      <c r="Y476" s="28"/>
      <c r="Z476" s="28"/>
      <c r="AK476" s="28"/>
      <c r="AS476" s="28"/>
      <c r="AT476" s="28"/>
    </row>
    <row r="477" spans="3:46" x14ac:dyDescent="0.15">
      <c r="C477" s="11">
        <v>1.4827817678451538E-2</v>
      </c>
      <c r="D477" s="11">
        <v>4.8206597566604614E-3</v>
      </c>
      <c r="E477" s="11">
        <v>0.36847371953247904</v>
      </c>
      <c r="F477" s="11">
        <v>0</v>
      </c>
      <c r="G477" s="11">
        <v>4.3254822492599487E-2</v>
      </c>
      <c r="H477" s="40">
        <v>4.7044787664753178E-4</v>
      </c>
      <c r="I477" s="40">
        <v>1.3965820947980536</v>
      </c>
      <c r="J477" s="59">
        <v>0</v>
      </c>
      <c r="K477" s="59">
        <v>3650.3421142697334</v>
      </c>
      <c r="L477" s="59">
        <v>0</v>
      </c>
      <c r="M477" s="11">
        <v>0.82660585641860962</v>
      </c>
      <c r="N477" s="11">
        <v>0.72529971599578857</v>
      </c>
      <c r="O477" s="11">
        <v>0.30076682567596436</v>
      </c>
      <c r="Q477" s="59">
        <v>14.335631893638736</v>
      </c>
      <c r="R477" s="78">
        <v>467.3822901993783</v>
      </c>
      <c r="S477" s="78">
        <v>14.366165046100758</v>
      </c>
      <c r="T477" s="78">
        <v>606.31545248649752</v>
      </c>
      <c r="U477" s="78">
        <v>3.0533152462021818E-2</v>
      </c>
      <c r="V477" s="78">
        <v>138.93316228711922</v>
      </c>
      <c r="Y477" s="28"/>
      <c r="Z477" s="28"/>
      <c r="AK477" s="28"/>
      <c r="AS477" s="28"/>
      <c r="AT477" s="28"/>
    </row>
    <row r="478" spans="3:46" x14ac:dyDescent="0.15">
      <c r="C478" s="11">
        <v>2.5716990232467651E-2</v>
      </c>
      <c r="D478" s="11">
        <v>7.9509317874908447E-3</v>
      </c>
      <c r="E478" s="11">
        <v>0.31290966894163891</v>
      </c>
      <c r="F478" s="11">
        <v>0</v>
      </c>
      <c r="G478" s="11">
        <v>4.6129673719406128E-2</v>
      </c>
      <c r="H478" s="40">
        <v>3.8187817284068929E-4</v>
      </c>
      <c r="I478" s="40">
        <v>1.5092273668061182</v>
      </c>
      <c r="J478" s="59">
        <v>0</v>
      </c>
      <c r="K478" s="59">
        <v>2644.2762464284897</v>
      </c>
      <c r="L478" s="59">
        <v>0</v>
      </c>
      <c r="M478" s="11">
        <v>0.88814663887023926</v>
      </c>
      <c r="N478" s="11">
        <v>0.68534064292907715</v>
      </c>
      <c r="O478" s="11">
        <v>0.29648089408874512</v>
      </c>
      <c r="Q478" s="59">
        <v>15.195693625554819</v>
      </c>
      <c r="R478" s="78">
        <v>453.95909043068099</v>
      </c>
      <c r="S478" s="78">
        <v>15.256221855039776</v>
      </c>
      <c r="T478" s="78">
        <v>598.01195900028711</v>
      </c>
      <c r="U478" s="78">
        <v>6.0528229484956952E-2</v>
      </c>
      <c r="V478" s="78">
        <v>144.05286856960612</v>
      </c>
      <c r="Y478" s="28"/>
      <c r="Z478" s="28"/>
      <c r="AK478" s="28"/>
      <c r="AS478" s="28"/>
      <c r="AT478" s="28"/>
    </row>
    <row r="479" spans="3:46" x14ac:dyDescent="0.15">
      <c r="C479" s="11">
        <v>2.8306841850280762E-2</v>
      </c>
      <c r="D479" s="11">
        <v>1.4133453369140625E-2</v>
      </c>
      <c r="E479" s="11">
        <v>0.49290051056269291</v>
      </c>
      <c r="F479" s="11">
        <v>0</v>
      </c>
      <c r="G479" s="11">
        <v>1.3404190540313721E-2</v>
      </c>
      <c r="H479" s="40">
        <v>4.6685459606990849E-4</v>
      </c>
      <c r="I479" s="40">
        <v>1.4254380566887395</v>
      </c>
      <c r="J479" s="59">
        <v>0</v>
      </c>
      <c r="K479" s="59">
        <v>7725.8236706256866</v>
      </c>
      <c r="L479" s="59">
        <v>0</v>
      </c>
      <c r="M479" s="11">
        <v>0.86694541573524475</v>
      </c>
      <c r="N479" s="11">
        <v>0.79059857130050659</v>
      </c>
      <c r="O479" s="11">
        <v>0.32654225826263428</v>
      </c>
      <c r="Q479" s="59">
        <v>14.83575303827217</v>
      </c>
      <c r="R479" s="78">
        <v>533.30452545934179</v>
      </c>
      <c r="S479" s="78">
        <v>14.857898625388634</v>
      </c>
      <c r="T479" s="78">
        <v>648.30036503600638</v>
      </c>
      <c r="U479" s="78">
        <v>2.2145587116463972E-2</v>
      </c>
      <c r="V479" s="78">
        <v>114.99583957666459</v>
      </c>
      <c r="Y479" s="28"/>
      <c r="Z479" s="28"/>
      <c r="AK479" s="28"/>
      <c r="AS479" s="28"/>
      <c r="AT479" s="28"/>
    </row>
    <row r="480" spans="3:46" x14ac:dyDescent="0.15">
      <c r="C480" s="11">
        <v>2.1412163972854614E-2</v>
      </c>
      <c r="D480" s="11">
        <v>9.2521309852600098E-3</v>
      </c>
      <c r="E480" s="11">
        <v>0.38236224838225308</v>
      </c>
      <c r="F480" s="11">
        <v>0</v>
      </c>
      <c r="G480" s="11">
        <v>3.0294626951217651E-2</v>
      </c>
      <c r="H480" s="40">
        <v>5.0400474079674508E-4</v>
      </c>
      <c r="I480" s="40">
        <v>1.4545531105547027</v>
      </c>
      <c r="J480" s="59">
        <v>0</v>
      </c>
      <c r="K480" s="59">
        <v>6022.4393382668495</v>
      </c>
      <c r="L480" s="59">
        <v>0</v>
      </c>
      <c r="M480" s="11">
        <v>0.84145015478134155</v>
      </c>
      <c r="N480" s="11">
        <v>0.74409949779510498</v>
      </c>
      <c r="O480" s="11">
        <v>0.25197196006774902</v>
      </c>
      <c r="Q480" s="59">
        <v>14.482133995966617</v>
      </c>
      <c r="R480" s="78">
        <v>535.70287286513781</v>
      </c>
      <c r="S480" s="78">
        <v>14.52044972363</v>
      </c>
      <c r="T480" s="78">
        <v>633.89954183659802</v>
      </c>
      <c r="U480" s="78">
        <v>3.8315727663382759E-2</v>
      </c>
      <c r="V480" s="78">
        <v>98.196668971460213</v>
      </c>
      <c r="Y480" s="28"/>
      <c r="Z480" s="28"/>
      <c r="AK480" s="28"/>
      <c r="AS480" s="28"/>
      <c r="AT480" s="28"/>
    </row>
    <row r="481" spans="3:46" x14ac:dyDescent="0.15">
      <c r="C481" s="11">
        <v>1.3350188732147217E-2</v>
      </c>
      <c r="D481" s="11">
        <v>1.9533872604370117E-2</v>
      </c>
      <c r="E481" s="11">
        <v>0.15850980630623382</v>
      </c>
      <c r="F481" s="11">
        <v>0</v>
      </c>
      <c r="G481" s="11">
        <v>7.0588350296020508E-2</v>
      </c>
      <c r="H481" s="40">
        <v>4.3969449109347407E-4</v>
      </c>
      <c r="I481" s="40">
        <v>1.4429406522603023</v>
      </c>
      <c r="J481" s="59">
        <v>0</v>
      </c>
      <c r="K481" s="59">
        <v>4294.7358451783657</v>
      </c>
      <c r="L481" s="59">
        <v>0</v>
      </c>
      <c r="M481" s="11">
        <v>0.82826781272888184</v>
      </c>
      <c r="N481" s="11">
        <v>0.68223214149475098</v>
      </c>
      <c r="O481" s="11">
        <v>0.33160960674285889</v>
      </c>
      <c r="Q481" s="59">
        <v>14.36419687027699</v>
      </c>
      <c r="R481" s="78">
        <v>498.16665561300942</v>
      </c>
      <c r="S481" s="78">
        <v>14.42346664874322</v>
      </c>
      <c r="T481" s="78">
        <v>595.75379751858509</v>
      </c>
      <c r="U481" s="78">
        <v>5.9269778466230605E-2</v>
      </c>
      <c r="V481" s="78">
        <v>97.587141905575663</v>
      </c>
      <c r="Y481" s="28"/>
      <c r="Z481" s="28"/>
      <c r="AK481" s="28"/>
      <c r="AS481" s="28"/>
      <c r="AT481" s="28"/>
    </row>
    <row r="482" spans="3:46" x14ac:dyDescent="0.15">
      <c r="C482" s="11">
        <v>1.9478321075439453E-2</v>
      </c>
      <c r="D482" s="11">
        <v>1.9523650407791138E-2</v>
      </c>
      <c r="E482" s="11">
        <v>0.3128035491851307</v>
      </c>
      <c r="F482" s="11">
        <v>0</v>
      </c>
      <c r="G482" s="11">
        <v>3.1664282083511353E-2</v>
      </c>
      <c r="H482" s="40">
        <v>3.1371047706864092E-4</v>
      </c>
      <c r="I482" s="40">
        <v>1.4929575625772828</v>
      </c>
      <c r="J482" s="59">
        <v>0</v>
      </c>
      <c r="K482" s="59">
        <v>5505.075678229332</v>
      </c>
      <c r="L482" s="59">
        <v>0</v>
      </c>
      <c r="M482" s="11">
        <v>0.88282918930053711</v>
      </c>
      <c r="N482" s="11">
        <v>0.76036030054092407</v>
      </c>
      <c r="O482" s="11">
        <v>0.2629094123840332</v>
      </c>
      <c r="Q482" s="59">
        <v>15.236473577947407</v>
      </c>
      <c r="R482" s="78">
        <v>485.47842895533466</v>
      </c>
      <c r="S482" s="78">
        <v>15.273175063769024</v>
      </c>
      <c r="T482" s="78">
        <v>607.91566546705155</v>
      </c>
      <c r="U482" s="78">
        <v>3.6701485821616586E-2</v>
      </c>
      <c r="V482" s="78">
        <v>122.43723651171689</v>
      </c>
      <c r="Y482" s="28"/>
      <c r="Z482" s="28"/>
      <c r="AK482" s="28"/>
      <c r="AS482" s="28"/>
      <c r="AT482" s="28"/>
    </row>
    <row r="483" spans="3:46" x14ac:dyDescent="0.15">
      <c r="C483" s="11">
        <v>4.732966423034668E-3</v>
      </c>
      <c r="D483" s="11">
        <v>3.2796919345855713E-2</v>
      </c>
      <c r="E483" s="11">
        <v>0.23546417463632058</v>
      </c>
      <c r="F483" s="11">
        <v>0</v>
      </c>
      <c r="G483" s="11">
        <v>7.676541805267334E-2</v>
      </c>
      <c r="H483" s="40">
        <v>3.8961492078700311E-4</v>
      </c>
      <c r="I483" s="40">
        <v>1.4892359287349048</v>
      </c>
      <c r="J483" s="59">
        <v>0</v>
      </c>
      <c r="K483" s="59">
        <v>6024.0598395466805</v>
      </c>
      <c r="L483" s="59">
        <v>0</v>
      </c>
      <c r="M483" s="11">
        <v>0.84368795156478882</v>
      </c>
      <c r="N483" s="11">
        <v>0.77033048868179321</v>
      </c>
      <c r="O483" s="11">
        <v>0.28776925802230835</v>
      </c>
      <c r="Q483" s="59">
        <v>14.770676260430552</v>
      </c>
      <c r="R483" s="78">
        <v>546.15834305122837</v>
      </c>
      <c r="S483" s="78">
        <v>14.817333541742794</v>
      </c>
      <c r="T483" s="78">
        <v>615.32338007490955</v>
      </c>
      <c r="U483" s="78">
        <v>4.665728131224256E-2</v>
      </c>
      <c r="V483" s="78">
        <v>69.16503702368118</v>
      </c>
      <c r="Y483" s="28"/>
      <c r="Z483" s="28"/>
      <c r="AK483" s="28"/>
      <c r="AS483" s="28"/>
      <c r="AT483" s="28"/>
    </row>
    <row r="484" spans="3:46" x14ac:dyDescent="0.15">
      <c r="C484" s="11">
        <v>1.7067328095436096E-2</v>
      </c>
      <c r="D484" s="11">
        <v>2.9562622308731079E-2</v>
      </c>
      <c r="E484" s="11">
        <v>0.35854231745525195</v>
      </c>
      <c r="F484" s="11">
        <v>0</v>
      </c>
      <c r="G484" s="11">
        <v>6.1877608299255371E-2</v>
      </c>
      <c r="H484" s="40">
        <v>5.1225397481653029E-4</v>
      </c>
      <c r="I484" s="40">
        <v>1.5073509520485744</v>
      </c>
      <c r="J484" s="59">
        <v>0</v>
      </c>
      <c r="K484" s="59">
        <v>3335.5923369526863</v>
      </c>
      <c r="L484" s="59">
        <v>0</v>
      </c>
      <c r="M484" s="11">
        <v>0.8616754412651062</v>
      </c>
      <c r="N484" s="11">
        <v>0.74726259708404541</v>
      </c>
      <c r="O484" s="11">
        <v>0.31061053276062012</v>
      </c>
      <c r="Q484" s="59">
        <v>14.866696485163049</v>
      </c>
      <c r="R484" s="78">
        <v>501.90013165639289</v>
      </c>
      <c r="S484" s="78">
        <v>14.926225695097367</v>
      </c>
      <c r="T484" s="78">
        <v>618.31927635872296</v>
      </c>
      <c r="U484" s="78">
        <v>5.9529209934318317E-2</v>
      </c>
      <c r="V484" s="78">
        <v>116.41914470233007</v>
      </c>
      <c r="Y484" s="28"/>
      <c r="Z484" s="28"/>
      <c r="AK484" s="28"/>
      <c r="AS484" s="28"/>
      <c r="AT484" s="28"/>
    </row>
    <row r="485" spans="3:46" x14ac:dyDescent="0.15">
      <c r="C485" s="11">
        <v>7.3667913675308228E-3</v>
      </c>
      <c r="D485" s="11">
        <v>1.9693896174430847E-2</v>
      </c>
      <c r="E485" s="11">
        <v>0.2664851971493612</v>
      </c>
      <c r="F485" s="11">
        <v>0</v>
      </c>
      <c r="G485" s="11">
        <v>2.417263388633728E-2</v>
      </c>
      <c r="H485" s="40">
        <v>6.7951190772874595E-4</v>
      </c>
      <c r="I485" s="40">
        <v>1.3482294250262892</v>
      </c>
      <c r="J485" s="59">
        <v>0</v>
      </c>
      <c r="K485" s="59">
        <v>6337.7758488059044</v>
      </c>
      <c r="L485" s="59">
        <v>0</v>
      </c>
      <c r="M485" s="11">
        <v>0.83887305855751038</v>
      </c>
      <c r="N485" s="11">
        <v>0.77591621875762939</v>
      </c>
      <c r="O485" s="11">
        <v>0.30391475558280945</v>
      </c>
      <c r="Q485" s="59">
        <v>14.657744936173215</v>
      </c>
      <c r="R485" s="78">
        <v>538.05323597181234</v>
      </c>
      <c r="S485" s="78">
        <v>14.694626124718459</v>
      </c>
      <c r="T485" s="78">
        <v>617.95538760712577</v>
      </c>
      <c r="U485" s="78">
        <v>3.688118854524447E-2</v>
      </c>
      <c r="V485" s="78">
        <v>79.90215163531343</v>
      </c>
      <c r="Y485" s="28"/>
      <c r="Z485" s="28"/>
      <c r="AK485" s="28"/>
      <c r="AS485" s="28"/>
      <c r="AT485" s="28"/>
    </row>
    <row r="486" spans="3:46" x14ac:dyDescent="0.15">
      <c r="C486" s="11">
        <v>2.0447656512260437E-2</v>
      </c>
      <c r="D486" s="11">
        <v>5.1298379898071289E-2</v>
      </c>
      <c r="E486" s="11">
        <v>0.54416921623182923</v>
      </c>
      <c r="F486" s="11">
        <v>0</v>
      </c>
      <c r="G486" s="11">
        <v>4.0423214435577393E-2</v>
      </c>
      <c r="H486" s="40">
        <v>4.704710072198112E-4</v>
      </c>
      <c r="I486" s="40">
        <v>1.5372794834194297</v>
      </c>
      <c r="J486" s="59">
        <v>0</v>
      </c>
      <c r="K486" s="59">
        <v>4997.914656996727</v>
      </c>
      <c r="L486" s="59">
        <v>0</v>
      </c>
      <c r="M486" s="11">
        <v>0.87317061424255371</v>
      </c>
      <c r="N486" s="11">
        <v>0.76563781499862671</v>
      </c>
      <c r="O486" s="11">
        <v>0.33287501335144043</v>
      </c>
      <c r="Q486" s="59">
        <v>15.012826771128928</v>
      </c>
      <c r="R486" s="78">
        <v>539.41324388905514</v>
      </c>
      <c r="S486" s="78">
        <v>15.055470770340518</v>
      </c>
      <c r="T486" s="78">
        <v>659.08096787481782</v>
      </c>
      <c r="U486" s="78">
        <v>4.26439992115899E-2</v>
      </c>
      <c r="V486" s="78">
        <v>119.66772398576268</v>
      </c>
      <c r="Y486" s="28"/>
      <c r="Z486" s="28"/>
      <c r="AK486" s="28"/>
      <c r="AS486" s="28"/>
      <c r="AT486" s="28"/>
    </row>
    <row r="487" spans="3:46" x14ac:dyDescent="0.15">
      <c r="C487" s="11">
        <v>2.3314833641052246E-2</v>
      </c>
      <c r="D487" s="11">
        <v>1.4109551906585693E-2</v>
      </c>
      <c r="E487" s="11">
        <v>0.42864751589253824</v>
      </c>
      <c r="F487" s="11">
        <v>0</v>
      </c>
      <c r="G487" s="11">
        <v>3.7574887275695801E-2</v>
      </c>
      <c r="H487" s="40">
        <v>3.8686922640530772E-4</v>
      </c>
      <c r="I487" s="40">
        <v>1.4715450654708542</v>
      </c>
      <c r="J487" s="59">
        <v>0</v>
      </c>
      <c r="K487" s="59">
        <v>3037.6669019460678</v>
      </c>
      <c r="L487" s="59">
        <v>0</v>
      </c>
      <c r="M487" s="11">
        <v>0.82275521755218506</v>
      </c>
      <c r="N487" s="11">
        <v>0.74827337265014648</v>
      </c>
      <c r="O487" s="11">
        <v>0.26197230815887451</v>
      </c>
      <c r="Q487" s="59">
        <v>14.148151701235912</v>
      </c>
      <c r="R487" s="78">
        <v>454.01100556630939</v>
      </c>
      <c r="S487" s="78">
        <v>14.174099482853233</v>
      </c>
      <c r="T487" s="78">
        <v>604.97859076722625</v>
      </c>
      <c r="U487" s="78">
        <v>2.5947781617320587E-2</v>
      </c>
      <c r="V487" s="78">
        <v>150.96758520091686</v>
      </c>
      <c r="Y487" s="28"/>
      <c r="Z487" s="28"/>
      <c r="AK487" s="28"/>
      <c r="AS487" s="28"/>
      <c r="AT487" s="28"/>
    </row>
    <row r="488" spans="3:46" x14ac:dyDescent="0.15">
      <c r="C488" s="11">
        <v>3.029748797416687E-2</v>
      </c>
      <c r="D488" s="11">
        <v>6.7375749349594116E-3</v>
      </c>
      <c r="E488" s="11">
        <v>0.26823477827835768</v>
      </c>
      <c r="F488" s="11">
        <v>0</v>
      </c>
      <c r="G488" s="11">
        <v>3.2705247402191162E-2</v>
      </c>
      <c r="H488" s="40">
        <v>4.7473824222504503E-4</v>
      </c>
      <c r="I488" s="40">
        <v>1.4200895642565174</v>
      </c>
      <c r="J488" s="59">
        <v>0</v>
      </c>
      <c r="K488" s="59">
        <v>8046.7667430639267</v>
      </c>
      <c r="L488" s="59">
        <v>0</v>
      </c>
      <c r="M488" s="11">
        <v>0.87953096628189087</v>
      </c>
      <c r="N488" s="11">
        <v>0.80226469039916992</v>
      </c>
      <c r="O488" s="11">
        <v>0.29730141162872314</v>
      </c>
      <c r="Q488" s="59">
        <v>15.01825926619799</v>
      </c>
      <c r="R488" s="78">
        <v>556.48806937436063</v>
      </c>
      <c r="S488" s="78">
        <v>15.052247361660022</v>
      </c>
      <c r="T488" s="78">
        <v>623.15630421102571</v>
      </c>
      <c r="U488" s="78">
        <v>3.3988095462031964E-2</v>
      </c>
      <c r="V488" s="78">
        <v>66.668234836665079</v>
      </c>
      <c r="Y488" s="28"/>
      <c r="Z488" s="28"/>
      <c r="AK488" s="28"/>
      <c r="AS488" s="28"/>
      <c r="AT488" s="28"/>
    </row>
    <row r="489" spans="3:46" x14ac:dyDescent="0.15">
      <c r="C489" s="11">
        <v>7.3797553777694702E-3</v>
      </c>
      <c r="D489" s="11">
        <v>4.4464766979217529E-3</v>
      </c>
      <c r="E489" s="11">
        <v>0.27622769571587436</v>
      </c>
      <c r="F489" s="11">
        <v>0</v>
      </c>
      <c r="G489" s="11">
        <v>1.9811689853668213E-2</v>
      </c>
      <c r="H489" s="40">
        <v>5.8808175114447459E-4</v>
      </c>
      <c r="I489" s="40">
        <v>1.4895830211918493</v>
      </c>
      <c r="J489" s="59">
        <v>0</v>
      </c>
      <c r="K489" s="59">
        <v>4760.505398735404</v>
      </c>
      <c r="L489" s="59">
        <v>0</v>
      </c>
      <c r="M489" s="11">
        <v>0.85409790277481079</v>
      </c>
      <c r="N489" s="11">
        <v>0.70090103149414062</v>
      </c>
      <c r="O489" s="11">
        <v>0.21604728698730469</v>
      </c>
      <c r="Q489" s="59">
        <v>14.870313424880548</v>
      </c>
      <c r="R489" s="78">
        <v>531.5708340590121</v>
      </c>
      <c r="S489" s="78">
        <v>14.945464719445347</v>
      </c>
      <c r="T489" s="78">
        <v>617.78902598319883</v>
      </c>
      <c r="U489" s="78">
        <v>7.5151294564799187E-2</v>
      </c>
      <c r="V489" s="78">
        <v>86.218191924186726</v>
      </c>
      <c r="Y489" s="28"/>
      <c r="Z489" s="28"/>
      <c r="AK489" s="28"/>
      <c r="AS489" s="28"/>
      <c r="AT489" s="28"/>
    </row>
    <row r="490" spans="3:46" x14ac:dyDescent="0.15">
      <c r="C490" s="11">
        <v>1.7439901828765869E-2</v>
      </c>
      <c r="D490" s="11">
        <v>2.0560890436172485E-2</v>
      </c>
      <c r="E490" s="11">
        <v>0.27615761246190762</v>
      </c>
      <c r="F490" s="11">
        <v>0</v>
      </c>
      <c r="G490" s="11">
        <v>2.7238219976425171E-2</v>
      </c>
      <c r="H490" s="40">
        <v>3.8608079647035795E-4</v>
      </c>
      <c r="I490" s="40">
        <v>1.3984974429166104</v>
      </c>
      <c r="J490" s="59">
        <v>0</v>
      </c>
      <c r="K490" s="59">
        <v>4907.3761329054832</v>
      </c>
      <c r="L490" s="59">
        <v>0</v>
      </c>
      <c r="M490" s="11">
        <v>0.85400009155273438</v>
      </c>
      <c r="N490" s="11">
        <v>0.724112868309021</v>
      </c>
      <c r="O490" s="11">
        <v>0.33294171094894409</v>
      </c>
      <c r="Q490" s="59">
        <v>14.773586527377185</v>
      </c>
      <c r="R490" s="78">
        <v>468.46527529451186</v>
      </c>
      <c r="S490" s="78">
        <v>14.808208708165491</v>
      </c>
      <c r="T490" s="78">
        <v>599.76670302015737</v>
      </c>
      <c r="U490" s="78">
        <v>3.4622180788305812E-2</v>
      </c>
      <c r="V490" s="78">
        <v>131.30142772564551</v>
      </c>
      <c r="Y490" s="28"/>
      <c r="Z490" s="28"/>
      <c r="AK490" s="28"/>
      <c r="AS490" s="28"/>
      <c r="AT490" s="28"/>
    </row>
    <row r="491" spans="3:46" x14ac:dyDescent="0.15">
      <c r="C491" s="11">
        <v>2.0322203636169434E-3</v>
      </c>
      <c r="D491" s="11">
        <v>1.3229250907897949E-2</v>
      </c>
      <c r="E491" s="11">
        <v>0.33133064897577796</v>
      </c>
      <c r="F491" s="11">
        <v>0</v>
      </c>
      <c r="G491" s="11">
        <v>1.2197315692901611E-2</v>
      </c>
      <c r="H491" s="40">
        <v>5.9471795591134501E-4</v>
      </c>
      <c r="I491" s="40">
        <v>1.3963371172790064</v>
      </c>
      <c r="J491" s="59">
        <v>0</v>
      </c>
      <c r="K491" s="59">
        <v>6762.2913047671318</v>
      </c>
      <c r="L491" s="59">
        <v>0</v>
      </c>
      <c r="M491" s="11">
        <v>0.84595882892608643</v>
      </c>
      <c r="N491" s="11">
        <v>0.71280467510223389</v>
      </c>
      <c r="O491" s="11">
        <v>0.34045755863189697</v>
      </c>
      <c r="Q491" s="59">
        <v>14.842329386685293</v>
      </c>
      <c r="R491" s="78">
        <v>538.88742057727256</v>
      </c>
      <c r="S491" s="78">
        <v>14.888747657754038</v>
      </c>
      <c r="T491" s="78">
        <v>627.68398883391092</v>
      </c>
      <c r="U491" s="78">
        <v>4.6418271068745298E-2</v>
      </c>
      <c r="V491" s="78">
        <v>88.796568256638352</v>
      </c>
      <c r="Y491" s="28"/>
      <c r="Z491" s="28"/>
      <c r="AK491" s="28"/>
      <c r="AS491" s="28"/>
      <c r="AT491" s="28"/>
    </row>
    <row r="492" spans="3:46" x14ac:dyDescent="0.15">
      <c r="C492" s="11">
        <v>1.2215763330459595E-2</v>
      </c>
      <c r="D492" s="11">
        <v>1.7647966742515564E-2</v>
      </c>
      <c r="E492" s="11">
        <v>0.18437473016473219</v>
      </c>
      <c r="F492" s="11">
        <v>0</v>
      </c>
      <c r="G492" s="11">
        <v>4.4087707996368408E-2</v>
      </c>
      <c r="H492" s="40">
        <v>5.6095066211312534E-4</v>
      </c>
      <c r="I492" s="40">
        <v>1.5512735036153338</v>
      </c>
      <c r="J492" s="59">
        <v>0</v>
      </c>
      <c r="K492" s="59">
        <v>5585.3277444839478</v>
      </c>
      <c r="L492" s="59">
        <v>0</v>
      </c>
      <c r="M492" s="11">
        <v>0.87269169092178345</v>
      </c>
      <c r="N492" s="11">
        <v>0.7589874267578125</v>
      </c>
      <c r="O492" s="11">
        <v>0.2825433611869812</v>
      </c>
      <c r="Q492" s="59">
        <v>15.117470598005529</v>
      </c>
      <c r="R492" s="78">
        <v>601.8646732746131</v>
      </c>
      <c r="S492" s="78">
        <v>15.205802404580202</v>
      </c>
      <c r="T492" s="78">
        <v>618.36084745349183</v>
      </c>
      <c r="U492" s="78">
        <v>8.8331806574673877E-2</v>
      </c>
      <c r="V492" s="78">
        <v>16.496174178878732</v>
      </c>
      <c r="Y492" s="28"/>
      <c r="Z492" s="28"/>
      <c r="AK492" s="28"/>
      <c r="AS492" s="28"/>
      <c r="AT492" s="28"/>
    </row>
    <row r="493" spans="3:46" x14ac:dyDescent="0.15">
      <c r="C493" s="11">
        <v>1.8844246864318848E-2</v>
      </c>
      <c r="D493" s="11">
        <v>3.4031212329864502E-2</v>
      </c>
      <c r="E493" s="11">
        <v>0.27871369389415085</v>
      </c>
      <c r="F493" s="11">
        <v>0</v>
      </c>
      <c r="G493" s="11">
        <v>2.8417780995368958E-2</v>
      </c>
      <c r="H493" s="40">
        <v>4.2627984169139004E-4</v>
      </c>
      <c r="I493" s="40">
        <v>1.4488431382969045</v>
      </c>
      <c r="J493" s="59">
        <v>0</v>
      </c>
      <c r="K493" s="59">
        <v>6557.4934706091881</v>
      </c>
      <c r="L493" s="59">
        <v>0</v>
      </c>
      <c r="M493" s="11">
        <v>0.8058398962020874</v>
      </c>
      <c r="N493" s="11">
        <v>0.71652233600616455</v>
      </c>
      <c r="O493" s="11">
        <v>0.33421528339385986</v>
      </c>
      <c r="Q493" s="59">
        <v>13.914162268790982</v>
      </c>
      <c r="R493" s="78">
        <v>521.16431752704545</v>
      </c>
      <c r="S493" s="78">
        <v>13.951185991276597</v>
      </c>
      <c r="T493" s="78">
        <v>614.89966025869114</v>
      </c>
      <c r="U493" s="78">
        <v>3.7023722485615806E-2</v>
      </c>
      <c r="V493" s="78">
        <v>93.735342731645687</v>
      </c>
      <c r="Y493" s="28"/>
      <c r="Z493" s="28"/>
      <c r="AK493" s="28"/>
      <c r="AS493" s="28"/>
      <c r="AT493" s="28"/>
    </row>
    <row r="494" spans="3:46" x14ac:dyDescent="0.15">
      <c r="C494" s="11">
        <v>7.8114420175552368E-3</v>
      </c>
      <c r="D494" s="11">
        <v>1.4508813619613647E-2</v>
      </c>
      <c r="E494" s="11">
        <v>0.31277119411870569</v>
      </c>
      <c r="F494" s="11">
        <v>0</v>
      </c>
      <c r="G494" s="11">
        <v>2.2514402866363525E-2</v>
      </c>
      <c r="H494" s="40">
        <v>3.920375883185398E-4</v>
      </c>
      <c r="I494" s="40">
        <v>1.5205730697707291</v>
      </c>
      <c r="J494" s="59">
        <v>0</v>
      </c>
      <c r="K494" s="59">
        <v>3922.3022758960724</v>
      </c>
      <c r="L494" s="59">
        <v>0</v>
      </c>
      <c r="M494" s="11">
        <v>0.89305150508880615</v>
      </c>
      <c r="N494" s="11">
        <v>0.77243316173553467</v>
      </c>
      <c r="O494" s="11">
        <v>0.26305299997329712</v>
      </c>
      <c r="Q494" s="59">
        <v>15.581174745091394</v>
      </c>
      <c r="R494" s="78">
        <v>478.57653033323732</v>
      </c>
      <c r="S494" s="78">
        <v>15.628971428106967</v>
      </c>
      <c r="T494" s="78">
        <v>605.83947109429107</v>
      </c>
      <c r="U494" s="78">
        <v>4.7796683015572938E-2</v>
      </c>
      <c r="V494" s="78">
        <v>127.26294076105376</v>
      </c>
      <c r="Y494" s="28"/>
      <c r="Z494" s="28"/>
      <c r="AK494" s="28"/>
      <c r="AS494" s="28"/>
      <c r="AT494" s="28"/>
    </row>
    <row r="495" spans="3:46" x14ac:dyDescent="0.15">
      <c r="C495" s="11">
        <v>2.3560166358947754E-2</v>
      </c>
      <c r="D495" s="11">
        <v>3.8904368877410889E-2</v>
      </c>
      <c r="E495" s="11">
        <v>0.39696960480542182</v>
      </c>
      <c r="F495" s="11">
        <v>0</v>
      </c>
      <c r="G495" s="11">
        <v>5.8014214038848877E-2</v>
      </c>
      <c r="H495" s="40">
        <v>4.1511919235209387E-4</v>
      </c>
      <c r="I495" s="40">
        <v>1.504261776277819</v>
      </c>
      <c r="J495" s="59">
        <v>0</v>
      </c>
      <c r="K495" s="59">
        <v>4189.1145519912243</v>
      </c>
      <c r="L495" s="59">
        <v>0</v>
      </c>
      <c r="M495" s="11">
        <v>0.89814245700836182</v>
      </c>
      <c r="N495" s="11">
        <v>0.8037567138671875</v>
      </c>
      <c r="O495" s="11">
        <v>0.22598457336425781</v>
      </c>
      <c r="Q495" s="59">
        <v>15.411825971959836</v>
      </c>
      <c r="R495" s="78">
        <v>500.45982442417449</v>
      </c>
      <c r="S495" s="78">
        <v>15.458896261057214</v>
      </c>
      <c r="T495" s="78">
        <v>621.78437972280688</v>
      </c>
      <c r="U495" s="78">
        <v>4.7070289097378648E-2</v>
      </c>
      <c r="V495" s="78">
        <v>121.32455529863239</v>
      </c>
      <c r="Y495" s="28"/>
      <c r="Z495" s="28"/>
      <c r="AK495" s="28"/>
      <c r="AS495" s="28"/>
      <c r="AT495" s="28"/>
    </row>
    <row r="496" spans="3:46" x14ac:dyDescent="0.15">
      <c r="C496" s="11">
        <v>3.0089318752288818E-3</v>
      </c>
      <c r="D496" s="11">
        <v>2.1130144596099854E-2</v>
      </c>
      <c r="E496" s="11">
        <v>0.22295488984383849</v>
      </c>
      <c r="F496" s="11">
        <v>0</v>
      </c>
      <c r="G496" s="11">
        <v>7.2809100151062012E-2</v>
      </c>
      <c r="H496" s="40">
        <v>5.6802040577587961E-4</v>
      </c>
      <c r="I496" s="40">
        <v>1.4402861494426689</v>
      </c>
      <c r="J496" s="59">
        <v>0</v>
      </c>
      <c r="K496" s="59">
        <v>5016.3199193775654</v>
      </c>
      <c r="L496" s="59">
        <v>0</v>
      </c>
      <c r="M496" s="11">
        <v>0.79387068748474121</v>
      </c>
      <c r="N496" s="11">
        <v>0.8028557300567627</v>
      </c>
      <c r="O496" s="11">
        <v>0.25313770771026611</v>
      </c>
      <c r="Q496" s="59">
        <v>13.939043347572255</v>
      </c>
      <c r="R496" s="78">
        <v>552.172059179352</v>
      </c>
      <c r="S496" s="78">
        <v>13.970978526893578</v>
      </c>
      <c r="T496" s="78">
        <v>614.87503110179557</v>
      </c>
      <c r="U496" s="78">
        <v>3.1935179321322948E-2</v>
      </c>
      <c r="V496" s="78">
        <v>62.702971922443567</v>
      </c>
      <c r="Y496" s="28"/>
      <c r="Z496" s="28"/>
      <c r="AK496" s="28"/>
      <c r="AS496" s="28"/>
      <c r="AT496" s="28"/>
    </row>
    <row r="497" spans="3:46" x14ac:dyDescent="0.15">
      <c r="C497" s="11">
        <v>3.9910972118377686E-3</v>
      </c>
      <c r="D497" s="11">
        <v>1.4309003949165344E-2</v>
      </c>
      <c r="E497" s="11">
        <v>0.14037501323866131</v>
      </c>
      <c r="F497" s="11">
        <v>0</v>
      </c>
      <c r="G497" s="11">
        <v>4.0369421243667603E-2</v>
      </c>
      <c r="H497" s="40">
        <v>4.7427081942533666E-4</v>
      </c>
      <c r="I497" s="40">
        <v>1.4645913497261411</v>
      </c>
      <c r="J497" s="59">
        <v>0</v>
      </c>
      <c r="K497" s="59">
        <v>2716.5748178958893</v>
      </c>
      <c r="L497" s="59">
        <v>0</v>
      </c>
      <c r="M497" s="11">
        <v>0.84582775831222534</v>
      </c>
      <c r="N497" s="11">
        <v>0.78692305088043213</v>
      </c>
      <c r="O497" s="11">
        <v>0.3182213306427002</v>
      </c>
      <c r="Q497" s="59">
        <v>14.830764521410496</v>
      </c>
      <c r="R497" s="78">
        <v>460.46123415841498</v>
      </c>
      <c r="S497" s="78">
        <v>14.873553983891025</v>
      </c>
      <c r="T497" s="78">
        <v>588.49628102521217</v>
      </c>
      <c r="U497" s="78">
        <v>4.2789462480529394E-2</v>
      </c>
      <c r="V497" s="78">
        <v>128.03504686679719</v>
      </c>
      <c r="Y497" s="28"/>
      <c r="Z497" s="28"/>
      <c r="AK497" s="28"/>
      <c r="AS497" s="28"/>
      <c r="AT497" s="28"/>
    </row>
    <row r="498" spans="3:46" x14ac:dyDescent="0.15">
      <c r="C498" s="11">
        <v>2.3262381553649902E-2</v>
      </c>
      <c r="D498" s="11">
        <v>8.0822408199310303E-3</v>
      </c>
      <c r="E498" s="11">
        <v>0.3005344701022043</v>
      </c>
      <c r="F498" s="11">
        <v>0</v>
      </c>
      <c r="G498" s="11">
        <v>7.8083038330078125E-2</v>
      </c>
      <c r="H498" s="40">
        <v>4.5202881071687481E-4</v>
      </c>
      <c r="I498" s="40">
        <v>1.4234837380517273</v>
      </c>
      <c r="J498" s="59">
        <v>0</v>
      </c>
      <c r="K498" s="59">
        <v>5264.5942196249962</v>
      </c>
      <c r="L498" s="59">
        <v>0</v>
      </c>
      <c r="M498" s="11">
        <v>0.85392147302627563</v>
      </c>
      <c r="N498" s="11">
        <v>0.73243224620819092</v>
      </c>
      <c r="O498" s="11">
        <v>0.28076702356338501</v>
      </c>
      <c r="Q498" s="59">
        <v>14.669620882203985</v>
      </c>
      <c r="R498" s="78">
        <v>521.41750604641186</v>
      </c>
      <c r="S498" s="78">
        <v>14.713296913874649</v>
      </c>
      <c r="T498" s="78">
        <v>617.73848849395893</v>
      </c>
      <c r="U498" s="78">
        <v>4.3676031670663917E-2</v>
      </c>
      <c r="V498" s="78">
        <v>96.320982447547067</v>
      </c>
      <c r="Y498" s="28"/>
      <c r="Z498" s="28"/>
      <c r="AK498" s="28"/>
      <c r="AS498" s="28"/>
      <c r="AT498" s="28"/>
    </row>
    <row r="499" spans="3:46" x14ac:dyDescent="0.15">
      <c r="C499" s="11">
        <v>2.630460262298584E-2</v>
      </c>
      <c r="D499" s="11">
        <v>7.1951866149902344E-2</v>
      </c>
      <c r="E499" s="11">
        <v>0.27100494448865697</v>
      </c>
      <c r="F499" s="11">
        <v>0</v>
      </c>
      <c r="G499" s="11">
        <v>3.175845742225647E-2</v>
      </c>
      <c r="H499" s="40">
        <v>5.5447763881543886E-4</v>
      </c>
      <c r="I499" s="40">
        <v>1.4528459265060267</v>
      </c>
      <c r="J499" s="59">
        <v>0</v>
      </c>
      <c r="K499" s="59">
        <v>4742.2014176845551</v>
      </c>
      <c r="L499" s="59">
        <v>0</v>
      </c>
      <c r="M499" s="11">
        <v>0.87220573425292969</v>
      </c>
      <c r="N499" s="11">
        <v>0.79546201229095459</v>
      </c>
      <c r="O499" s="11">
        <v>0.29514786601066589</v>
      </c>
      <c r="Q499" s="59">
        <v>14.917525278469924</v>
      </c>
      <c r="R499" s="78">
        <v>514.596002786849</v>
      </c>
      <c r="S499" s="78">
        <v>14.977947297020643</v>
      </c>
      <c r="T499" s="78">
        <v>612.24253107863035</v>
      </c>
      <c r="U499" s="78">
        <v>6.0422018550719159E-2</v>
      </c>
      <c r="V499" s="78">
        <v>97.646528291781351</v>
      </c>
      <c r="Y499" s="28"/>
      <c r="Z499" s="28"/>
      <c r="AK499" s="28"/>
      <c r="AS499" s="28"/>
      <c r="AT499" s="28"/>
    </row>
    <row r="500" spans="3:46" x14ac:dyDescent="0.15">
      <c r="C500" s="11">
        <v>4.7261267900466919E-3</v>
      </c>
      <c r="D500" s="11">
        <v>1.1761084198951721E-2</v>
      </c>
      <c r="E500" s="11">
        <v>0.20024740424067311</v>
      </c>
      <c r="F500" s="11">
        <v>0</v>
      </c>
      <c r="G500" s="11">
        <v>4.9140810966491699E-2</v>
      </c>
      <c r="H500" s="40">
        <v>3.491874389209014E-4</v>
      </c>
      <c r="I500" s="40">
        <v>1.4548982412971256</v>
      </c>
      <c r="J500" s="59">
        <v>0</v>
      </c>
      <c r="K500" s="59">
        <v>4730.4900363087654</v>
      </c>
      <c r="L500" s="59">
        <v>0</v>
      </c>
      <c r="M500" s="11">
        <v>0.85292911529541016</v>
      </c>
      <c r="N500" s="11">
        <v>0.71867775917053223</v>
      </c>
      <c r="O500" s="11">
        <v>0.29212182760238647</v>
      </c>
      <c r="Q500" s="59">
        <v>14.939719404040714</v>
      </c>
      <c r="R500" s="78">
        <v>481.00841460317787</v>
      </c>
      <c r="S500" s="78">
        <v>14.98344233313583</v>
      </c>
      <c r="T500" s="78">
        <v>596.62769879821872</v>
      </c>
      <c r="U500" s="78">
        <v>4.3722929095116214E-2</v>
      </c>
      <c r="V500" s="78">
        <v>115.61928419504085</v>
      </c>
      <c r="Y500" s="28"/>
      <c r="Z500" s="28"/>
      <c r="AK500" s="28"/>
      <c r="AS500" s="28"/>
      <c r="AT500" s="28"/>
    </row>
    <row r="501" spans="3:46" x14ac:dyDescent="0.15">
      <c r="C501" s="11">
        <v>7.1409046649932861E-3</v>
      </c>
      <c r="D501" s="11">
        <v>6.4239203929901123E-3</v>
      </c>
      <c r="E501" s="11">
        <v>0.29042489462677568</v>
      </c>
      <c r="F501" s="11">
        <v>0</v>
      </c>
      <c r="G501" s="11">
        <v>1.5223264694213867E-2</v>
      </c>
      <c r="H501" s="40">
        <v>3.3249211117825273E-4</v>
      </c>
      <c r="I501" s="40">
        <v>1.4988991233265381</v>
      </c>
      <c r="J501" s="59">
        <v>0</v>
      </c>
      <c r="K501" s="59">
        <v>4852.0113341510296</v>
      </c>
      <c r="L501" s="59">
        <v>0</v>
      </c>
      <c r="M501" s="11">
        <v>0.86280572414398193</v>
      </c>
      <c r="N501" s="11">
        <v>0.75402724742889404</v>
      </c>
      <c r="O501" s="11">
        <v>0.29997676610946655</v>
      </c>
      <c r="Q501" s="59">
        <v>15.083655595159508</v>
      </c>
      <c r="R501" s="78">
        <v>474.18566454859587</v>
      </c>
      <c r="S501" s="78">
        <v>15.11734784094096</v>
      </c>
      <c r="T501" s="78">
        <v>602.56683820280011</v>
      </c>
      <c r="U501" s="78">
        <v>3.3692245781452357E-2</v>
      </c>
      <c r="V501" s="78">
        <v>128.38117365420425</v>
      </c>
      <c r="Y501" s="28"/>
      <c r="Z501" s="28"/>
      <c r="AK501" s="28"/>
      <c r="AS501" s="28"/>
      <c r="AT501" s="28"/>
    </row>
    <row r="502" spans="3:46" x14ac:dyDescent="0.15">
      <c r="C502" s="11">
        <v>9.9100321531295776E-3</v>
      </c>
      <c r="D502" s="11">
        <v>2.0613580942153931E-2</v>
      </c>
      <c r="E502" s="11">
        <v>0.15406169052129118</v>
      </c>
      <c r="F502" s="11">
        <v>0</v>
      </c>
      <c r="G502" s="11">
        <v>7.4265718460083008E-2</v>
      </c>
      <c r="H502" s="40">
        <v>6.742492281260129E-4</v>
      </c>
      <c r="I502" s="40">
        <v>1.4165993987458771</v>
      </c>
      <c r="J502" s="59">
        <v>0</v>
      </c>
      <c r="K502" s="59">
        <v>7698.1447637081146</v>
      </c>
      <c r="L502" s="59">
        <v>0</v>
      </c>
      <c r="M502" s="11">
        <v>0.78635501861572266</v>
      </c>
      <c r="N502" s="11">
        <v>0.69712638854980469</v>
      </c>
      <c r="O502" s="11">
        <v>0.31083279848098755</v>
      </c>
      <c r="Q502" s="59">
        <v>13.674822591467381</v>
      </c>
      <c r="R502" s="78">
        <v>662.18864485219126</v>
      </c>
      <c r="S502" s="78">
        <v>13.739985461464418</v>
      </c>
      <c r="T502" s="78">
        <v>621.16789573101437</v>
      </c>
      <c r="U502" s="78">
        <v>6.5162869997037021E-2</v>
      </c>
      <c r="V502" s="78">
        <v>-41.020749121176891</v>
      </c>
      <c r="Y502" s="28"/>
      <c r="Z502" s="28"/>
      <c r="AK502" s="28"/>
      <c r="AS502" s="28"/>
      <c r="AT502" s="28"/>
    </row>
    <row r="503" spans="3:46" x14ac:dyDescent="0.15">
      <c r="C503" s="11">
        <v>8.6323767900466919E-3</v>
      </c>
      <c r="D503" s="11">
        <v>4.3030500411987305E-2</v>
      </c>
      <c r="E503" s="11">
        <v>0.33605275732880774</v>
      </c>
      <c r="F503" s="11">
        <v>0</v>
      </c>
      <c r="G503" s="11">
        <v>1.9326508045196533E-2</v>
      </c>
      <c r="H503" s="40">
        <v>3.4909923481051122E-4</v>
      </c>
      <c r="I503" s="40">
        <v>1.4687327192893487</v>
      </c>
      <c r="J503" s="59">
        <v>0</v>
      </c>
      <c r="K503" s="59">
        <v>3747.5116550922394</v>
      </c>
      <c r="L503" s="59">
        <v>0</v>
      </c>
      <c r="M503" s="11">
        <v>0.86256229877471924</v>
      </c>
      <c r="N503" s="11">
        <v>0.75749659538269043</v>
      </c>
      <c r="O503" s="11">
        <v>0.31796306371688843</v>
      </c>
      <c r="Q503" s="59">
        <v>15.05147864799577</v>
      </c>
      <c r="R503" s="78">
        <v>454.64501187137483</v>
      </c>
      <c r="S503" s="78">
        <v>15.086412534575718</v>
      </c>
      <c r="T503" s="78">
        <v>599.59460844020373</v>
      </c>
      <c r="U503" s="78">
        <v>3.4933886579947782E-2</v>
      </c>
      <c r="V503" s="78">
        <v>144.94959656882889</v>
      </c>
      <c r="Y503" s="28"/>
      <c r="Z503" s="28"/>
      <c r="AK503" s="28"/>
      <c r="AS503" s="28"/>
      <c r="AT503" s="28"/>
    </row>
    <row r="504" spans="3:46" x14ac:dyDescent="0.15">
      <c r="C504" s="11">
        <v>3.0165135860443115E-2</v>
      </c>
      <c r="D504" s="11">
        <v>1.3188228011131287E-2</v>
      </c>
      <c r="E504" s="11">
        <v>0.41142244917588433</v>
      </c>
      <c r="F504" s="11">
        <v>0</v>
      </c>
      <c r="G504" s="11">
        <v>3.1745254993438721E-2</v>
      </c>
      <c r="H504" s="40">
        <v>4.0287077178524205E-4</v>
      </c>
      <c r="I504" s="40">
        <v>1.6624747555432886</v>
      </c>
      <c r="J504" s="59">
        <v>0</v>
      </c>
      <c r="K504" s="59">
        <v>5044.6111708879471</v>
      </c>
      <c r="L504" s="59">
        <v>0</v>
      </c>
      <c r="M504" s="11">
        <v>0.8067164421081543</v>
      </c>
      <c r="N504" s="11">
        <v>0.76459139585494995</v>
      </c>
      <c r="O504" s="11">
        <v>0.25482714176177979</v>
      </c>
      <c r="Q504" s="59">
        <v>13.75449077113133</v>
      </c>
      <c r="R504" s="78">
        <v>566.50611874364165</v>
      </c>
      <c r="S504" s="78">
        <v>13.792156854505713</v>
      </c>
      <c r="T504" s="78">
        <v>651.45059087160496</v>
      </c>
      <c r="U504" s="78">
        <v>3.7666083374382708E-2</v>
      </c>
      <c r="V504" s="78">
        <v>84.944472127963309</v>
      </c>
      <c r="Y504" s="28"/>
      <c r="Z504" s="28"/>
      <c r="AK504" s="28"/>
      <c r="AS504" s="28"/>
      <c r="AT504" s="28"/>
    </row>
    <row r="505" spans="3:46" x14ac:dyDescent="0.15">
      <c r="C505" s="11">
        <v>3.4011900424957275E-3</v>
      </c>
      <c r="D505" s="11">
        <v>8.387446403503418E-3</v>
      </c>
      <c r="E505" s="11">
        <v>0.23526966135681479</v>
      </c>
      <c r="F505" s="11">
        <v>0</v>
      </c>
      <c r="G505" s="11">
        <v>1.7786115407943726E-2</v>
      </c>
      <c r="H505" s="40">
        <v>5.1931948667750328E-4</v>
      </c>
      <c r="I505" s="40">
        <v>1.4068993532141432</v>
      </c>
      <c r="J505" s="59">
        <v>0</v>
      </c>
      <c r="K505" s="59">
        <v>5776.4723896980286</v>
      </c>
      <c r="L505" s="59">
        <v>0</v>
      </c>
      <c r="M505" s="11">
        <v>0.83744865655899048</v>
      </c>
      <c r="N505" s="11">
        <v>0.75069570541381836</v>
      </c>
      <c r="O505" s="11">
        <v>0.3214067816734314</v>
      </c>
      <c r="Q505" s="59">
        <v>14.693269518135674</v>
      </c>
      <c r="R505" s="78">
        <v>509.59331343952437</v>
      </c>
      <c r="S505" s="78">
        <v>14.730363975064307</v>
      </c>
      <c r="T505" s="78">
        <v>606.59172933145339</v>
      </c>
      <c r="U505" s="78">
        <v>3.7094456928633335E-2</v>
      </c>
      <c r="V505" s="78">
        <v>96.998415891929028</v>
      </c>
      <c r="Y505" s="28"/>
      <c r="Z505" s="28"/>
      <c r="AK505" s="28"/>
      <c r="AS505" s="28"/>
      <c r="AT505" s="28"/>
    </row>
    <row r="506" spans="3:46" x14ac:dyDescent="0.15">
      <c r="C506" s="11">
        <v>1.6960278153419495E-2</v>
      </c>
      <c r="D506" s="11">
        <v>2.5194257497787476E-2</v>
      </c>
      <c r="E506" s="11">
        <v>0.25103984475419822</v>
      </c>
      <c r="F506" s="11">
        <v>0</v>
      </c>
      <c r="G506" s="11">
        <v>4.4203877449035645E-2</v>
      </c>
      <c r="H506" s="40">
        <v>3.2318140928130819E-4</v>
      </c>
      <c r="I506" s="40">
        <v>1.5015934462595311</v>
      </c>
      <c r="J506" s="59">
        <v>0</v>
      </c>
      <c r="K506" s="59">
        <v>7126.745767891407</v>
      </c>
      <c r="L506" s="59">
        <v>0</v>
      </c>
      <c r="M506" s="11">
        <v>0.85407894849777222</v>
      </c>
      <c r="N506" s="11">
        <v>0.7225954532623291</v>
      </c>
      <c r="O506" s="11">
        <v>0.32478481531143188</v>
      </c>
      <c r="Q506" s="59">
        <v>14.771659646702632</v>
      </c>
      <c r="R506" s="78">
        <v>527.42531473994336</v>
      </c>
      <c r="S506" s="78">
        <v>14.815319664106463</v>
      </c>
      <c r="T506" s="78">
        <v>612.89806798716063</v>
      </c>
      <c r="U506" s="78">
        <v>4.3660017403830409E-2</v>
      </c>
      <c r="V506" s="78">
        <v>85.47275324721727</v>
      </c>
      <c r="Y506" s="28"/>
      <c r="Z506" s="28"/>
      <c r="AK506" s="28"/>
      <c r="AS506" s="28"/>
      <c r="AT506" s="28"/>
    </row>
    <row r="507" spans="3:46" x14ac:dyDescent="0.15">
      <c r="C507" s="11">
        <v>8.152395486831665E-3</v>
      </c>
      <c r="D507" s="11">
        <v>2.915114164352417E-3</v>
      </c>
      <c r="E507" s="11">
        <v>0.31551583827549956</v>
      </c>
      <c r="F507" s="11">
        <v>0</v>
      </c>
      <c r="G507" s="11">
        <v>4.2262166738510132E-2</v>
      </c>
      <c r="H507" s="40">
        <v>4.5316333728003888E-4</v>
      </c>
      <c r="I507" s="40">
        <v>1.4373204602872485</v>
      </c>
      <c r="J507" s="59">
        <v>0</v>
      </c>
      <c r="K507" s="59">
        <v>5127.128679305315</v>
      </c>
      <c r="L507" s="59">
        <v>0</v>
      </c>
      <c r="M507" s="11">
        <v>0.83963161706924438</v>
      </c>
      <c r="N507" s="11">
        <v>0.80599534511566162</v>
      </c>
      <c r="O507" s="11">
        <v>0.28218388557434082</v>
      </c>
      <c r="Q507" s="59">
        <v>14.675327731010794</v>
      </c>
      <c r="R507" s="78">
        <v>505.91010799951715</v>
      </c>
      <c r="S507" s="78">
        <v>14.698886413756474</v>
      </c>
      <c r="T507" s="78">
        <v>614.74371958077393</v>
      </c>
      <c r="U507" s="78">
        <v>2.355868274567996E-2</v>
      </c>
      <c r="V507" s="78">
        <v>108.83361158125678</v>
      </c>
      <c r="Y507" s="28"/>
      <c r="Z507" s="28"/>
      <c r="AK507" s="28"/>
      <c r="AS507" s="28"/>
      <c r="AT507" s="28"/>
    </row>
    <row r="508" spans="3:46" x14ac:dyDescent="0.15">
      <c r="C508" s="11">
        <v>5.586773157119751E-3</v>
      </c>
      <c r="D508" s="11">
        <v>1.1049926280975342E-2</v>
      </c>
      <c r="E508" s="11">
        <v>0.20614888056257522</v>
      </c>
      <c r="F508" s="11">
        <v>0</v>
      </c>
      <c r="G508" s="11">
        <v>3.8476139307022095E-2</v>
      </c>
      <c r="H508" s="40">
        <v>3.3359684225160323E-4</v>
      </c>
      <c r="I508" s="40">
        <v>1.5126260114118397</v>
      </c>
      <c r="J508" s="59">
        <v>0</v>
      </c>
      <c r="K508" s="59">
        <v>4525.9785838425159</v>
      </c>
      <c r="L508" s="59">
        <v>0</v>
      </c>
      <c r="M508" s="11">
        <v>0.83290868997573853</v>
      </c>
      <c r="N508" s="11">
        <v>0.79854214191436768</v>
      </c>
      <c r="O508" s="11">
        <v>0.28169345855712891</v>
      </c>
      <c r="Q508" s="59">
        <v>14.595893650035109</v>
      </c>
      <c r="R508" s="78">
        <v>483.06081203880609</v>
      </c>
      <c r="S508" s="78">
        <v>14.622812828418047</v>
      </c>
      <c r="T508" s="78">
        <v>597.61233105184908</v>
      </c>
      <c r="U508" s="78">
        <v>2.6919178382938114E-2</v>
      </c>
      <c r="V508" s="78">
        <v>114.55151901304299</v>
      </c>
      <c r="Y508" s="28"/>
      <c r="Z508" s="28"/>
      <c r="AK508" s="28"/>
      <c r="AS508" s="28"/>
      <c r="AT508" s="28"/>
    </row>
    <row r="509" spans="3:46" x14ac:dyDescent="0.15">
      <c r="C509" s="11">
        <v>5.5032253265380859E-2</v>
      </c>
      <c r="D509" s="11">
        <v>2.2087931632995605E-2</v>
      </c>
      <c r="E509" s="11">
        <v>0.14097551553059193</v>
      </c>
      <c r="F509" s="11">
        <v>0</v>
      </c>
      <c r="G509" s="11">
        <v>4.9917697906494141E-2</v>
      </c>
      <c r="H509" s="40">
        <v>4.4089733339155681E-4</v>
      </c>
      <c r="I509" s="40">
        <v>1.4415396128798144</v>
      </c>
      <c r="J509" s="59">
        <v>0</v>
      </c>
      <c r="K509" s="59">
        <v>4564.8170635104179</v>
      </c>
      <c r="L509" s="59">
        <v>0</v>
      </c>
      <c r="M509" s="11">
        <v>0.86284250020980835</v>
      </c>
      <c r="N509" s="11">
        <v>0.78836917877197266</v>
      </c>
      <c r="O509" s="11">
        <v>0.29594859480857849</v>
      </c>
      <c r="Q509" s="59">
        <v>14.351452050131897</v>
      </c>
      <c r="R509" s="78">
        <v>490.53487296427528</v>
      </c>
      <c r="S509" s="78">
        <v>14.394870159888882</v>
      </c>
      <c r="T509" s="78">
        <v>592.81590023252693</v>
      </c>
      <c r="U509" s="78">
        <v>4.3418109756984791E-2</v>
      </c>
      <c r="V509" s="78">
        <v>102.28102726825165</v>
      </c>
      <c r="Y509" s="28"/>
      <c r="Z509" s="28"/>
      <c r="AK509" s="28"/>
      <c r="AS509" s="28"/>
      <c r="AT509" s="28"/>
    </row>
    <row r="510" spans="3:46" x14ac:dyDescent="0.15">
      <c r="C510" s="11">
        <v>1.9450992345809937E-2</v>
      </c>
      <c r="D510" s="11">
        <v>4.4393420219421387E-2</v>
      </c>
      <c r="E510" s="11">
        <v>0.47612388721957988</v>
      </c>
      <c r="F510" s="11">
        <v>0</v>
      </c>
      <c r="G510" s="11">
        <v>1.2400627136230469E-2</v>
      </c>
      <c r="H510" s="40">
        <v>4.5161646139044561E-4</v>
      </c>
      <c r="I510" s="40">
        <v>1.4283760691575258</v>
      </c>
      <c r="J510" s="59">
        <v>0</v>
      </c>
      <c r="K510" s="59">
        <v>3524.9954089522362</v>
      </c>
      <c r="L510" s="59">
        <v>0</v>
      </c>
      <c r="M510" s="11">
        <v>0.8490440845489502</v>
      </c>
      <c r="N510" s="11">
        <v>0.67295360565185547</v>
      </c>
      <c r="O510" s="11">
        <v>0.3054707944393158</v>
      </c>
      <c r="Q510" s="59">
        <v>14.627637382799374</v>
      </c>
      <c r="R510" s="78">
        <v>456.04778255312328</v>
      </c>
      <c r="S510" s="78">
        <v>14.668018780749929</v>
      </c>
      <c r="T510" s="78">
        <v>608.81983815233934</v>
      </c>
      <c r="U510" s="78">
        <v>4.0381397950554287E-2</v>
      </c>
      <c r="V510" s="78">
        <v>152.77205559921606</v>
      </c>
      <c r="Y510" s="28"/>
      <c r="Z510" s="28"/>
      <c r="AK510" s="28"/>
      <c r="AS510" s="28"/>
      <c r="AT510" s="28"/>
    </row>
    <row r="511" spans="3:46" x14ac:dyDescent="0.15">
      <c r="C511" s="11">
        <v>2.7565449476242065E-2</v>
      </c>
      <c r="D511" s="11">
        <v>2.3753628134727478E-2</v>
      </c>
      <c r="E511" s="11">
        <v>0.24472871282526937</v>
      </c>
      <c r="F511" s="11">
        <v>0</v>
      </c>
      <c r="G511" s="11">
        <v>1.921999454498291E-2</v>
      </c>
      <c r="H511" s="40">
        <v>6.9169516833711181E-4</v>
      </c>
      <c r="I511" s="40">
        <v>1.3574802198957152</v>
      </c>
      <c r="J511" s="59">
        <v>0</v>
      </c>
      <c r="K511" s="59">
        <v>4760.7487067580223</v>
      </c>
      <c r="L511" s="59">
        <v>0</v>
      </c>
      <c r="M511" s="11">
        <v>0.85673129558563232</v>
      </c>
      <c r="N511" s="11">
        <v>0.73237365484237671</v>
      </c>
      <c r="O511" s="11">
        <v>0.29483491182327271</v>
      </c>
      <c r="Q511" s="59">
        <v>14.641632713496378</v>
      </c>
      <c r="R511" s="78">
        <v>501.51065094120401</v>
      </c>
      <c r="S511" s="78">
        <v>14.697315894523005</v>
      </c>
      <c r="T511" s="78">
        <v>605.73444301218001</v>
      </c>
      <c r="U511" s="78">
        <v>5.5683181026626727E-2</v>
      </c>
      <c r="V511" s="78">
        <v>104.223792070976</v>
      </c>
      <c r="Y511" s="28"/>
      <c r="Z511" s="28"/>
      <c r="AK511" s="28"/>
      <c r="AS511" s="28"/>
      <c r="AT511" s="28"/>
    </row>
    <row r="512" spans="3:46" x14ac:dyDescent="0.15">
      <c r="C512" s="11">
        <v>9.7080469131469727E-3</v>
      </c>
      <c r="D512" s="11">
        <v>1.7640978097915649E-2</v>
      </c>
      <c r="E512" s="11">
        <v>0.11681159472866239</v>
      </c>
      <c r="F512" s="11">
        <v>0</v>
      </c>
      <c r="G512" s="11">
        <v>7.8307390213012695E-2</v>
      </c>
      <c r="H512" s="40">
        <v>4.4016202674091847E-4</v>
      </c>
      <c r="I512" s="40">
        <v>1.5325894558105355</v>
      </c>
      <c r="J512" s="59">
        <v>0</v>
      </c>
      <c r="K512" s="59">
        <v>5040.9277901053429</v>
      </c>
      <c r="L512" s="59">
        <v>0</v>
      </c>
      <c r="M512" s="11">
        <v>0.83388274908065796</v>
      </c>
      <c r="N512" s="11">
        <v>0.76120352745056152</v>
      </c>
      <c r="O512" s="11">
        <v>0.26003503799438477</v>
      </c>
      <c r="Q512" s="59">
        <v>14.513707990914783</v>
      </c>
      <c r="R512" s="78">
        <v>557.71188354519961</v>
      </c>
      <c r="S512" s="78">
        <v>14.577656577102744</v>
      </c>
      <c r="T512" s="78">
        <v>598.52494326264446</v>
      </c>
      <c r="U512" s="78">
        <v>6.3948586187960288E-2</v>
      </c>
      <c r="V512" s="78">
        <v>40.813059717444844</v>
      </c>
      <c r="Y512" s="28"/>
      <c r="Z512" s="28"/>
      <c r="AK512" s="28"/>
      <c r="AS512" s="28"/>
      <c r="AT512" s="28"/>
    </row>
    <row r="513" spans="3:46" x14ac:dyDescent="0.15">
      <c r="C513" s="11">
        <v>5.6549072265625E-2</v>
      </c>
      <c r="D513" s="11">
        <v>2.0263791084289551E-3</v>
      </c>
      <c r="E513" s="11">
        <v>0.15623241724902867</v>
      </c>
      <c r="F513" s="11">
        <v>0</v>
      </c>
      <c r="G513" s="11">
        <v>3.5863369703292847E-2</v>
      </c>
      <c r="H513" s="40">
        <v>4.6074709563794723E-4</v>
      </c>
      <c r="I513" s="40">
        <v>1.4113943886885489</v>
      </c>
      <c r="J513" s="59">
        <v>0</v>
      </c>
      <c r="K513" s="59">
        <v>5630.3758174180984</v>
      </c>
      <c r="L513" s="59">
        <v>0</v>
      </c>
      <c r="M513" s="11">
        <v>0.84688124060630798</v>
      </c>
      <c r="N513" s="11">
        <v>0.78766822814941406</v>
      </c>
      <c r="O513" s="11">
        <v>0.27884715795516968</v>
      </c>
      <c r="Q513" s="59">
        <v>14.076124473598966</v>
      </c>
      <c r="R513" s="78">
        <v>500.68777906742218</v>
      </c>
      <c r="S513" s="78">
        <v>14.107171682045374</v>
      </c>
      <c r="T513" s="78">
        <v>595.90493916683147</v>
      </c>
      <c r="U513" s="78">
        <v>3.1047208446407737E-2</v>
      </c>
      <c r="V513" s="78">
        <v>95.217160099409284</v>
      </c>
      <c r="Y513" s="28"/>
      <c r="Z513" s="28"/>
      <c r="AK513" s="28"/>
      <c r="AS513" s="28"/>
      <c r="AT513" s="28"/>
    </row>
    <row r="514" spans="3:46" x14ac:dyDescent="0.15">
      <c r="C514" s="11">
        <v>1.0920315980911255E-2</v>
      </c>
      <c r="D514" s="11">
        <v>1.5175729990005493E-2</v>
      </c>
      <c r="E514" s="11">
        <v>0.35632510814808682</v>
      </c>
      <c r="F514" s="11">
        <v>0</v>
      </c>
      <c r="G514" s="11">
        <v>1.7044305801391602E-2</v>
      </c>
      <c r="H514" s="40">
        <v>3.5969759118531551E-4</v>
      </c>
      <c r="I514" s="40">
        <v>1.4418873338985845</v>
      </c>
      <c r="J514" s="59">
        <v>0</v>
      </c>
      <c r="K514" s="59">
        <v>5112.4906167387962</v>
      </c>
      <c r="L514" s="59">
        <v>0</v>
      </c>
      <c r="M514" s="11">
        <v>0.85778391361236572</v>
      </c>
      <c r="N514" s="11">
        <v>0.67943668365478516</v>
      </c>
      <c r="O514" s="11">
        <v>0.31046557426452637</v>
      </c>
      <c r="Q514" s="59">
        <v>14.924947973576259</v>
      </c>
      <c r="R514" s="78">
        <v>471.87137295858548</v>
      </c>
      <c r="S514" s="78">
        <v>14.964061273006342</v>
      </c>
      <c r="T514" s="78">
        <v>607.01384143028076</v>
      </c>
      <c r="U514" s="78">
        <v>3.9113299430082904E-2</v>
      </c>
      <c r="V514" s="78">
        <v>135.14246847169528</v>
      </c>
      <c r="Y514" s="28"/>
      <c r="Z514" s="28"/>
      <c r="AK514" s="28"/>
      <c r="AS514" s="28"/>
      <c r="AT514" s="28"/>
    </row>
    <row r="515" spans="3:46" x14ac:dyDescent="0.15">
      <c r="C515" s="11">
        <v>1.1242225766181946E-2</v>
      </c>
      <c r="D515" s="11">
        <v>3.8029670715332031E-2</v>
      </c>
      <c r="E515" s="11">
        <v>0.22296663354221594</v>
      </c>
      <c r="F515" s="11">
        <v>0</v>
      </c>
      <c r="G515" s="11">
        <v>1.2676000595092773E-2</v>
      </c>
      <c r="H515" s="40">
        <v>4.0358927306616288E-4</v>
      </c>
      <c r="I515" s="40">
        <v>1.4464906444082417</v>
      </c>
      <c r="J515" s="59">
        <v>0</v>
      </c>
      <c r="K515" s="59">
        <v>4477.9456220567226</v>
      </c>
      <c r="L515" s="59">
        <v>0</v>
      </c>
      <c r="M515" s="11">
        <v>0.80836594104766846</v>
      </c>
      <c r="N515" s="11">
        <v>0.66573286056518555</v>
      </c>
      <c r="O515" s="11">
        <v>0.35436034202575684</v>
      </c>
      <c r="Q515" s="59">
        <v>14.057245206131929</v>
      </c>
      <c r="R515" s="78">
        <v>469.17009757705694</v>
      </c>
      <c r="S515" s="78">
        <v>14.104341435211159</v>
      </c>
      <c r="T515" s="78">
        <v>595.98356089228969</v>
      </c>
      <c r="U515" s="78">
        <v>4.7096229079230056E-2</v>
      </c>
      <c r="V515" s="78">
        <v>126.81346331523275</v>
      </c>
      <c r="Y515" s="28"/>
      <c r="Z515" s="28"/>
      <c r="AK515" s="28"/>
      <c r="AS515" s="28"/>
      <c r="AT515" s="28"/>
    </row>
    <row r="516" spans="3:46" x14ac:dyDescent="0.15">
      <c r="C516" s="11">
        <v>6.6542476415634155E-3</v>
      </c>
      <c r="D516" s="11">
        <v>2.2280365228652954E-2</v>
      </c>
      <c r="E516" s="11">
        <v>0.34541625681454241</v>
      </c>
      <c r="F516" s="11">
        <v>0</v>
      </c>
      <c r="G516" s="11">
        <v>3.1180977821350098E-2</v>
      </c>
      <c r="H516" s="40">
        <v>4.2123494952632707E-4</v>
      </c>
      <c r="I516" s="40">
        <v>1.390410375788756</v>
      </c>
      <c r="J516" s="59">
        <v>0</v>
      </c>
      <c r="K516" s="59">
        <v>6395.033560693264</v>
      </c>
      <c r="L516" s="59">
        <v>0</v>
      </c>
      <c r="M516" s="11">
        <v>0.8610643744468689</v>
      </c>
      <c r="N516" s="11">
        <v>0.76034748554229736</v>
      </c>
      <c r="O516" s="11">
        <v>0.26203995943069458</v>
      </c>
      <c r="Q516" s="59">
        <v>15.059931936197726</v>
      </c>
      <c r="R516" s="78">
        <v>500.70252146377499</v>
      </c>
      <c r="S516" s="78">
        <v>15.091391951023448</v>
      </c>
      <c r="T516" s="78">
        <v>616.20318268321353</v>
      </c>
      <c r="U516" s="78">
        <v>3.1460014825722027E-2</v>
      </c>
      <c r="V516" s="78">
        <v>115.50066121943854</v>
      </c>
      <c r="Y516" s="28"/>
      <c r="Z516" s="28"/>
      <c r="AK516" s="28"/>
      <c r="AS516" s="28"/>
      <c r="AT516" s="28"/>
    </row>
    <row r="517" spans="3:46" x14ac:dyDescent="0.15">
      <c r="C517" s="11">
        <v>3.7885844707489014E-2</v>
      </c>
      <c r="D517" s="11">
        <v>2.4741947650909424E-2</v>
      </c>
      <c r="E517" s="11">
        <v>0.15363191208586111</v>
      </c>
      <c r="F517" s="11">
        <v>0</v>
      </c>
      <c r="G517" s="11">
        <v>5.5296808481216431E-2</v>
      </c>
      <c r="H517" s="40">
        <v>3.5319361595286333E-4</v>
      </c>
      <c r="I517" s="40">
        <v>1.5696961640044498</v>
      </c>
      <c r="J517" s="59">
        <v>0</v>
      </c>
      <c r="K517" s="59">
        <v>4815.0797374546528</v>
      </c>
      <c r="L517" s="59">
        <v>0</v>
      </c>
      <c r="M517" s="11">
        <v>0.86819493770599365</v>
      </c>
      <c r="N517" s="11">
        <v>0.82622432708740234</v>
      </c>
      <c r="O517" s="11">
        <v>0.26392138004302979</v>
      </c>
      <c r="Q517" s="59">
        <v>14.69963647134014</v>
      </c>
      <c r="R517" s="78">
        <v>517.26863747689754</v>
      </c>
      <c r="S517" s="78">
        <v>14.745821185235668</v>
      </c>
      <c r="T517" s="78">
        <v>598.29231493003829</v>
      </c>
      <c r="U517" s="78">
        <v>4.6184713895527807E-2</v>
      </c>
      <c r="V517" s="78">
        <v>81.023677453140749</v>
      </c>
      <c r="Y517" s="28"/>
      <c r="Z517" s="28"/>
      <c r="AK517" s="28"/>
      <c r="AS517" s="28"/>
      <c r="AT517" s="28"/>
    </row>
    <row r="518" spans="3:46" x14ac:dyDescent="0.15">
      <c r="C518" s="11">
        <v>1.327870786190033E-2</v>
      </c>
      <c r="D518" s="11">
        <v>5.8251380920410156E-2</v>
      </c>
      <c r="E518" s="11">
        <v>0.16209602680415827</v>
      </c>
      <c r="F518" s="11">
        <v>0</v>
      </c>
      <c r="G518" s="11">
        <v>3.7039071321487427E-2</v>
      </c>
      <c r="H518" s="40">
        <v>4.8023399259965671E-4</v>
      </c>
      <c r="I518" s="40">
        <v>1.4840686173514654</v>
      </c>
      <c r="J518" s="59">
        <v>0</v>
      </c>
      <c r="K518" s="59">
        <v>8302.4054765701294</v>
      </c>
      <c r="L518" s="59">
        <v>0</v>
      </c>
      <c r="M518" s="11">
        <v>0.86644667387008667</v>
      </c>
      <c r="N518" s="11">
        <v>0.74317115545272827</v>
      </c>
      <c r="O518" s="11">
        <v>0.26776319742202759</v>
      </c>
      <c r="Q518" s="59">
        <v>15.00823820838896</v>
      </c>
      <c r="R518" s="78">
        <v>603.38191760157315</v>
      </c>
      <c r="S518" s="78">
        <v>15.085908120687154</v>
      </c>
      <c r="T518" s="78">
        <v>613.58418273083782</v>
      </c>
      <c r="U518" s="78">
        <v>7.7669912298194532E-2</v>
      </c>
      <c r="V518" s="78">
        <v>10.202265129264674</v>
      </c>
      <c r="Y518" s="28"/>
      <c r="Z518" s="28"/>
      <c r="AK518" s="28"/>
      <c r="AS518" s="28"/>
      <c r="AT518" s="28"/>
    </row>
    <row r="519" spans="3:46" x14ac:dyDescent="0.15">
      <c r="C519" s="11">
        <v>1.5556305646896362E-2</v>
      </c>
      <c r="D519" s="11">
        <v>5.7625770568847656E-4</v>
      </c>
      <c r="E519" s="11">
        <v>0.20182863941573032</v>
      </c>
      <c r="F519" s="11">
        <v>0</v>
      </c>
      <c r="G519" s="11">
        <v>1.886218786239624E-2</v>
      </c>
      <c r="H519" s="40">
        <v>5.0294573338218569E-4</v>
      </c>
      <c r="I519" s="40">
        <v>1.5291108164004601</v>
      </c>
      <c r="J519" s="59">
        <v>0</v>
      </c>
      <c r="K519" s="59">
        <v>5461.1940868198872</v>
      </c>
      <c r="L519" s="59">
        <v>0</v>
      </c>
      <c r="M519" s="11">
        <v>0.83382666110992432</v>
      </c>
      <c r="N519" s="11">
        <v>0.73815435171127319</v>
      </c>
      <c r="O519" s="11">
        <v>0.2889416515827179</v>
      </c>
      <c r="Q519" s="59">
        <v>14.429697717151251</v>
      </c>
      <c r="R519" s="78">
        <v>543.746879847277</v>
      </c>
      <c r="S519" s="78">
        <v>14.484837391479754</v>
      </c>
      <c r="T519" s="78">
        <v>609.90462743299759</v>
      </c>
      <c r="U519" s="78">
        <v>5.5139674328502863E-2</v>
      </c>
      <c r="V519" s="78">
        <v>66.157747585720585</v>
      </c>
      <c r="Y519" s="28"/>
      <c r="Z519" s="28"/>
      <c r="AK519" s="28"/>
      <c r="AS519" s="28"/>
      <c r="AT519" s="28"/>
    </row>
    <row r="520" spans="3:46" x14ac:dyDescent="0.15">
      <c r="C520" s="11">
        <v>7.8444331884384155E-3</v>
      </c>
      <c r="D520" s="11">
        <v>3.1068593263626099E-2</v>
      </c>
      <c r="E520" s="11">
        <v>0.22413077713950399</v>
      </c>
      <c r="F520" s="11">
        <v>0</v>
      </c>
      <c r="G520" s="11">
        <v>4.654926061630249E-2</v>
      </c>
      <c r="H520" s="40">
        <v>3.9487294918430044E-4</v>
      </c>
      <c r="I520" s="40">
        <v>1.4836458145800222</v>
      </c>
      <c r="J520" s="59">
        <v>0</v>
      </c>
      <c r="K520" s="59">
        <v>3440.8783540129662</v>
      </c>
      <c r="L520" s="59">
        <v>0</v>
      </c>
      <c r="M520" s="11">
        <v>0.88198071718215942</v>
      </c>
      <c r="N520" s="11">
        <v>0.72364741563796997</v>
      </c>
      <c r="O520" s="11">
        <v>0.30631184577941895</v>
      </c>
      <c r="Q520" s="59">
        <v>15.376738205064202</v>
      </c>
      <c r="R520" s="78">
        <v>469.90599276442663</v>
      </c>
      <c r="S520" s="78">
        <v>15.438506350967593</v>
      </c>
      <c r="T520" s="78">
        <v>596.25571889136506</v>
      </c>
      <c r="U520" s="78">
        <v>6.1768145903391414E-2</v>
      </c>
      <c r="V520" s="78">
        <v>126.34972612693844</v>
      </c>
      <c r="Y520" s="28"/>
      <c r="Z520" s="28"/>
      <c r="AK520" s="28"/>
      <c r="AS520" s="28"/>
      <c r="AT520" s="28"/>
    </row>
    <row r="521" spans="3:46" x14ac:dyDescent="0.15">
      <c r="C521" s="11">
        <v>4.8295736312866211E-2</v>
      </c>
      <c r="D521" s="11">
        <v>1.6169771552085876E-2</v>
      </c>
      <c r="E521" s="11">
        <v>0.26020142380710248</v>
      </c>
      <c r="F521" s="11">
        <v>0</v>
      </c>
      <c r="G521" s="11">
        <v>1.8433570861816406E-2</v>
      </c>
      <c r="H521" s="40">
        <v>5.4652833860991713E-4</v>
      </c>
      <c r="I521" s="40">
        <v>1.4216034166272065</v>
      </c>
      <c r="J521" s="59">
        <v>0</v>
      </c>
      <c r="K521" s="59">
        <v>6792.2379821538925</v>
      </c>
      <c r="L521" s="59">
        <v>0</v>
      </c>
      <c r="M521" s="11">
        <v>0.86153697967529297</v>
      </c>
      <c r="N521" s="11">
        <v>0.75000011920928955</v>
      </c>
      <c r="O521" s="11">
        <v>0.34398305416107178</v>
      </c>
      <c r="Q521" s="59">
        <v>14.421311621885112</v>
      </c>
      <c r="R521" s="78">
        <v>536.77765200741544</v>
      </c>
      <c r="S521" s="78">
        <v>14.46656908133815</v>
      </c>
      <c r="T521" s="78">
        <v>616.7301029122109</v>
      </c>
      <c r="U521" s="78">
        <v>4.5257459453038607E-2</v>
      </c>
      <c r="V521" s="78">
        <v>79.952450904795455</v>
      </c>
      <c r="Y521" s="28"/>
      <c r="Z521" s="28"/>
      <c r="AK521" s="28"/>
      <c r="AS521" s="28"/>
      <c r="AT521" s="28"/>
    </row>
    <row r="522" spans="3:46" x14ac:dyDescent="0.15">
      <c r="C522" s="11">
        <v>8.5559040307998657E-3</v>
      </c>
      <c r="D522" s="11">
        <v>5.351334810256958E-3</v>
      </c>
      <c r="E522" s="11">
        <v>0.36338890860789319</v>
      </c>
      <c r="F522" s="11">
        <v>0</v>
      </c>
      <c r="G522" s="11">
        <v>3.5574465990066528E-2</v>
      </c>
      <c r="H522" s="40">
        <v>4.6781023458348391E-4</v>
      </c>
      <c r="I522" s="40">
        <v>1.3765792481736419</v>
      </c>
      <c r="J522" s="59">
        <v>0</v>
      </c>
      <c r="K522" s="59">
        <v>3769.7493098676205</v>
      </c>
      <c r="L522" s="59">
        <v>0</v>
      </c>
      <c r="M522" s="11">
        <v>0.86229023337364197</v>
      </c>
      <c r="N522" s="11">
        <v>0.78458189964294434</v>
      </c>
      <c r="O522" s="11">
        <v>0.30885016918182373</v>
      </c>
      <c r="Q522" s="59">
        <v>15.060405547713522</v>
      </c>
      <c r="R522" s="78">
        <v>462.77477082566554</v>
      </c>
      <c r="S522" s="78">
        <v>15.085963678805889</v>
      </c>
      <c r="T522" s="78">
        <v>604.23236763654427</v>
      </c>
      <c r="U522" s="78">
        <v>2.5558131092367375E-2</v>
      </c>
      <c r="V522" s="78">
        <v>141.45759681087873</v>
      </c>
      <c r="Y522" s="28"/>
      <c r="Z522" s="28"/>
      <c r="AK522" s="28"/>
      <c r="AS522" s="28"/>
      <c r="AT522" s="28"/>
    </row>
    <row r="523" spans="3:46" x14ac:dyDescent="0.15">
      <c r="C523" s="11">
        <v>9.951859712600708E-3</v>
      </c>
      <c r="D523" s="11">
        <v>1.004338264465332E-3</v>
      </c>
      <c r="E523" s="11">
        <v>0.24100816981454909</v>
      </c>
      <c r="F523" s="11">
        <v>0</v>
      </c>
      <c r="G523" s="11">
        <v>3.8475364446640015E-2</v>
      </c>
      <c r="H523" s="40">
        <v>4.6094321532293272E-4</v>
      </c>
      <c r="I523" s="40">
        <v>1.3829709504518815</v>
      </c>
      <c r="J523" s="59">
        <v>0</v>
      </c>
      <c r="K523" s="59">
        <v>3876.7140358686447</v>
      </c>
      <c r="L523" s="59">
        <v>0</v>
      </c>
      <c r="M523" s="11">
        <v>0.8938058614730835</v>
      </c>
      <c r="N523" s="11">
        <v>0.64786624908447266</v>
      </c>
      <c r="O523" s="11">
        <v>0.31351566314697266</v>
      </c>
      <c r="Q523" s="59">
        <v>15.547962569651913</v>
      </c>
      <c r="R523" s="78">
        <v>466.08503493383807</v>
      </c>
      <c r="S523" s="78">
        <v>15.610496324463188</v>
      </c>
      <c r="T523" s="78">
        <v>596.57352201796425</v>
      </c>
      <c r="U523" s="78">
        <v>6.2533754811274989E-2</v>
      </c>
      <c r="V523" s="78">
        <v>130.48848708412618</v>
      </c>
      <c r="Y523" s="28"/>
      <c r="Z523" s="28"/>
      <c r="AK523" s="28"/>
      <c r="AS523" s="28"/>
      <c r="AT523" s="28"/>
    </row>
    <row r="524" spans="3:46" x14ac:dyDescent="0.15">
      <c r="C524" s="11">
        <v>8.0375224351882935E-3</v>
      </c>
      <c r="D524" s="11">
        <v>1.5038549900054932E-2</v>
      </c>
      <c r="E524" s="11">
        <v>0.30611797711200472</v>
      </c>
      <c r="F524" s="11">
        <v>0</v>
      </c>
      <c r="G524" s="11">
        <v>4.2713314294815063E-2</v>
      </c>
      <c r="H524" s="40">
        <v>4.7375253153516584E-4</v>
      </c>
      <c r="I524" s="40">
        <v>1.3113494591350925</v>
      </c>
      <c r="J524" s="59">
        <v>0</v>
      </c>
      <c r="K524" s="59">
        <v>4155.7801887392998</v>
      </c>
      <c r="L524" s="59">
        <v>0</v>
      </c>
      <c r="M524" s="11">
        <v>0.78129673004150391</v>
      </c>
      <c r="N524" s="11">
        <v>0.75051796436309814</v>
      </c>
      <c r="O524" s="11">
        <v>0.22682762145996094</v>
      </c>
      <c r="Q524" s="59">
        <v>13.662900812946113</v>
      </c>
      <c r="R524" s="78">
        <v>459.91291180119993</v>
      </c>
      <c r="S524" s="78">
        <v>13.68132508729586</v>
      </c>
      <c r="T524" s="78">
        <v>599.34703056726039</v>
      </c>
      <c r="U524" s="78">
        <v>1.8424274349747805E-2</v>
      </c>
      <c r="V524" s="78">
        <v>139.43411876606046</v>
      </c>
      <c r="Y524" s="28"/>
      <c r="Z524" s="28"/>
      <c r="AK524" s="28"/>
      <c r="AS524" s="28"/>
      <c r="AT524" s="28"/>
    </row>
    <row r="525" spans="3:46" x14ac:dyDescent="0.15">
      <c r="C525" s="11">
        <v>9.4082355499267578E-3</v>
      </c>
      <c r="D525" s="11">
        <v>3.0098587274551392E-2</v>
      </c>
      <c r="E525" s="11">
        <v>0.40336882855237943</v>
      </c>
      <c r="F525" s="11">
        <v>0</v>
      </c>
      <c r="G525" s="11">
        <v>7.0376992225646973E-2</v>
      </c>
      <c r="H525" s="40">
        <v>4.8901810192565306E-4</v>
      </c>
      <c r="I525" s="40">
        <v>1.3044453531779947</v>
      </c>
      <c r="J525" s="59">
        <v>0</v>
      </c>
      <c r="K525" s="59">
        <v>5989.2656281590462</v>
      </c>
      <c r="L525" s="59">
        <v>0</v>
      </c>
      <c r="M525" s="11">
        <v>0.84003853797912598</v>
      </c>
      <c r="N525" s="11">
        <v>0.8126823902130127</v>
      </c>
      <c r="O525" s="11">
        <v>0.30180522799491882</v>
      </c>
      <c r="Q525" s="59">
        <v>14.665422113627971</v>
      </c>
      <c r="R525" s="78">
        <v>502.38847326664745</v>
      </c>
      <c r="S525" s="78">
        <v>14.685034897207169</v>
      </c>
      <c r="T525" s="78">
        <v>623.03281831158506</v>
      </c>
      <c r="U525" s="78">
        <v>1.9612783579198378E-2</v>
      </c>
      <c r="V525" s="78">
        <v>120.64434504493761</v>
      </c>
      <c r="Y525" s="28"/>
      <c r="Z525" s="28"/>
      <c r="AK525" s="28"/>
      <c r="AS525" s="28"/>
      <c r="AT525" s="28"/>
    </row>
    <row r="526" spans="3:46" x14ac:dyDescent="0.15">
      <c r="C526" s="11">
        <v>1.9850581884384155E-2</v>
      </c>
      <c r="D526" s="11">
        <v>4.5978903770446777E-2</v>
      </c>
      <c r="E526" s="11">
        <v>0.4431545258290121</v>
      </c>
      <c r="F526" s="11">
        <v>0</v>
      </c>
      <c r="G526" s="11">
        <v>1.2306392192840576E-2</v>
      </c>
      <c r="H526" s="40">
        <v>5.7866263379306065E-4</v>
      </c>
      <c r="I526" s="40">
        <v>1.4612709135365183</v>
      </c>
      <c r="J526" s="59">
        <v>0</v>
      </c>
      <c r="K526" s="59">
        <v>2991.3522303104401</v>
      </c>
      <c r="L526" s="59">
        <v>0</v>
      </c>
      <c r="M526" s="11">
        <v>0.91664695739746094</v>
      </c>
      <c r="N526" s="11">
        <v>0.69931387901306152</v>
      </c>
      <c r="O526" s="11">
        <v>0.31588637828826904</v>
      </c>
      <c r="Q526" s="59">
        <v>15.74065111052691</v>
      </c>
      <c r="R526" s="78">
        <v>467.70210039104921</v>
      </c>
      <c r="S526" s="78">
        <v>15.811704832199094</v>
      </c>
      <c r="T526" s="78">
        <v>612.12914459199715</v>
      </c>
      <c r="U526" s="78">
        <v>7.1053721672184267E-2</v>
      </c>
      <c r="V526" s="78">
        <v>144.42704420094793</v>
      </c>
      <c r="Y526" s="28"/>
      <c r="Z526" s="28"/>
      <c r="AK526" s="28"/>
      <c r="AS526" s="28"/>
      <c r="AT526" s="28"/>
    </row>
    <row r="527" spans="3:46" x14ac:dyDescent="0.15">
      <c r="C527" s="11">
        <v>2.6156753301620483E-2</v>
      </c>
      <c r="D527" s="11">
        <v>2.9754459857940674E-2</v>
      </c>
      <c r="E527" s="11">
        <v>0.27254882450671164</v>
      </c>
      <c r="F527" s="11">
        <v>0</v>
      </c>
      <c r="G527" s="11">
        <v>6.6289067268371582E-2</v>
      </c>
      <c r="H527" s="40">
        <v>6.7236001343270405E-4</v>
      </c>
      <c r="I527" s="40">
        <v>1.47690091386305</v>
      </c>
      <c r="J527" s="59">
        <v>0</v>
      </c>
      <c r="K527" s="59">
        <v>5197.5972019135952</v>
      </c>
      <c r="L527" s="59">
        <v>0</v>
      </c>
      <c r="M527" s="11">
        <v>0.83471006155014038</v>
      </c>
      <c r="N527" s="11">
        <v>0.75269389152526855</v>
      </c>
      <c r="O527" s="11">
        <v>0.29180264472961426</v>
      </c>
      <c r="Q527" s="59">
        <v>14.261750968034114</v>
      </c>
      <c r="R527" s="78">
        <v>596.87959639785322</v>
      </c>
      <c r="S527" s="78">
        <v>14.331314884820364</v>
      </c>
      <c r="T527" s="78">
        <v>635.5016351641724</v>
      </c>
      <c r="U527" s="78">
        <v>6.956391678624918E-2</v>
      </c>
      <c r="V527" s="78">
        <v>38.622038766319179</v>
      </c>
      <c r="Y527" s="28"/>
      <c r="Z527" s="28"/>
      <c r="AK527" s="28"/>
      <c r="AS527" s="28"/>
      <c r="AT527" s="28"/>
    </row>
    <row r="528" spans="3:46" x14ac:dyDescent="0.15">
      <c r="C528" s="11">
        <v>1.8886923789978027E-2</v>
      </c>
      <c r="D528" s="11">
        <v>1.1146113276481628E-2</v>
      </c>
      <c r="E528" s="11">
        <v>0.22207121210945194</v>
      </c>
      <c r="F528" s="11">
        <v>0</v>
      </c>
      <c r="G528" s="11">
        <v>2.6605814695358276E-2</v>
      </c>
      <c r="H528" s="40">
        <v>5.9637689745439164E-4</v>
      </c>
      <c r="I528" s="40">
        <v>1.3946448435752994</v>
      </c>
      <c r="J528" s="59">
        <v>0</v>
      </c>
      <c r="K528" s="59">
        <v>7333.1035673618317</v>
      </c>
      <c r="L528" s="59">
        <v>0</v>
      </c>
      <c r="M528" s="11">
        <v>0.84132343530654907</v>
      </c>
      <c r="N528" s="11">
        <v>0.78308486938476562</v>
      </c>
      <c r="O528" s="11">
        <v>0.35750865936279297</v>
      </c>
      <c r="Q528" s="59">
        <v>14.535686380572161</v>
      </c>
      <c r="R528" s="78">
        <v>562.20515503991328</v>
      </c>
      <c r="S528" s="78">
        <v>14.570055203721454</v>
      </c>
      <c r="T528" s="78">
        <v>616.95618964189168</v>
      </c>
      <c r="U528" s="78">
        <v>3.4368823149293348E-2</v>
      </c>
      <c r="V528" s="78">
        <v>54.751034601978404</v>
      </c>
      <c r="Y528" s="28"/>
      <c r="Z528" s="28"/>
      <c r="AK528" s="28"/>
      <c r="AS528" s="28"/>
      <c r="AT528" s="28"/>
    </row>
    <row r="529" spans="3:46" x14ac:dyDescent="0.15">
      <c r="C529" s="11">
        <v>1.3315886259078979E-2</v>
      </c>
      <c r="D529" s="11">
        <v>3.6233723163604736E-2</v>
      </c>
      <c r="E529" s="11">
        <v>0.2948545547318559</v>
      </c>
      <c r="F529" s="11">
        <v>0</v>
      </c>
      <c r="G529" s="11">
        <v>3.3887773752212524E-2</v>
      </c>
      <c r="H529" s="40">
        <v>3.1893017824435985E-4</v>
      </c>
      <c r="I529" s="40">
        <v>1.5786297968595564</v>
      </c>
      <c r="J529" s="59">
        <v>0</v>
      </c>
      <c r="K529" s="59">
        <v>5527.1433666348457</v>
      </c>
      <c r="L529" s="59">
        <v>0</v>
      </c>
      <c r="M529" s="11">
        <v>0.8144453763961792</v>
      </c>
      <c r="N529" s="11">
        <v>0.80977869033813477</v>
      </c>
      <c r="O529" s="11">
        <v>0.38698959350585938</v>
      </c>
      <c r="Q529" s="59">
        <v>14.162202206596346</v>
      </c>
      <c r="R529" s="78">
        <v>515.22619906264549</v>
      </c>
      <c r="S529" s="78">
        <v>14.184773111124285</v>
      </c>
      <c r="T529" s="78">
        <v>615.27261393964284</v>
      </c>
      <c r="U529" s="78">
        <v>2.2570904527938751E-2</v>
      </c>
      <c r="V529" s="78">
        <v>100.04641487699735</v>
      </c>
      <c r="Y529" s="28"/>
      <c r="Z529" s="28"/>
      <c r="AK529" s="28"/>
      <c r="AS529" s="28"/>
      <c r="AT529" s="28"/>
    </row>
    <row r="530" spans="3:46" x14ac:dyDescent="0.15">
      <c r="C530" s="11">
        <v>1.8759280443191528E-2</v>
      </c>
      <c r="D530" s="11">
        <v>1.6880035400390625E-4</v>
      </c>
      <c r="E530" s="11">
        <v>0.34024342265484825</v>
      </c>
      <c r="F530" s="11">
        <v>0</v>
      </c>
      <c r="G530" s="11">
        <v>7.2027444839477539E-2</v>
      </c>
      <c r="H530" s="40">
        <v>4.1565981268145579E-4</v>
      </c>
      <c r="I530" s="40">
        <v>1.4597342694160163</v>
      </c>
      <c r="J530" s="59">
        <v>0</v>
      </c>
      <c r="K530" s="59">
        <v>6023.2682153582573</v>
      </c>
      <c r="L530" s="59">
        <v>0</v>
      </c>
      <c r="M530" s="11">
        <v>0.84764754772186279</v>
      </c>
      <c r="N530" s="11">
        <v>0.7710767388343811</v>
      </c>
      <c r="O530" s="11">
        <v>0.31796431541442871</v>
      </c>
      <c r="Q530" s="59">
        <v>14.644492996779331</v>
      </c>
      <c r="R530" s="78">
        <v>540.408875145509</v>
      </c>
      <c r="S530" s="78">
        <v>14.675358696548924</v>
      </c>
      <c r="T530" s="78">
        <v>629.38607884522264</v>
      </c>
      <c r="U530" s="78">
        <v>3.0865699769593746E-2</v>
      </c>
      <c r="V530" s="78">
        <v>88.977203699713641</v>
      </c>
      <c r="Y530" s="28"/>
      <c r="Z530" s="28"/>
      <c r="AK530" s="28"/>
      <c r="AS530" s="28"/>
      <c r="AT530" s="28"/>
    </row>
    <row r="531" spans="3:46" x14ac:dyDescent="0.15">
      <c r="C531" s="11">
        <v>2.5513887405395508E-2</v>
      </c>
      <c r="D531" s="11">
        <v>2.8180629014968872E-2</v>
      </c>
      <c r="E531" s="11">
        <v>0.26733344427686839</v>
      </c>
      <c r="F531" s="11">
        <v>0</v>
      </c>
      <c r="G531" s="11">
        <v>3.2148420810699463E-2</v>
      </c>
      <c r="H531" s="40">
        <v>6.5032355315350538E-4</v>
      </c>
      <c r="I531" s="40">
        <v>1.3838267703947864</v>
      </c>
      <c r="J531" s="59">
        <v>0</v>
      </c>
      <c r="K531" s="59">
        <v>4817.2334209084511</v>
      </c>
      <c r="L531" s="59">
        <v>0</v>
      </c>
      <c r="M531" s="11">
        <v>0.8829532265663147</v>
      </c>
      <c r="N531" s="11">
        <v>0.7579503059387207</v>
      </c>
      <c r="O531" s="11">
        <v>0.29633104801177979</v>
      </c>
      <c r="Q531" s="59">
        <v>15.116986933609502</v>
      </c>
      <c r="R531" s="78">
        <v>513.0121795883332</v>
      </c>
      <c r="S531" s="78">
        <v>15.176093925552939</v>
      </c>
      <c r="T531" s="78">
        <v>611.32039958741905</v>
      </c>
      <c r="U531" s="78">
        <v>5.9106991943437492E-2</v>
      </c>
      <c r="V531" s="78">
        <v>98.30821999908585</v>
      </c>
      <c r="Y531" s="28"/>
      <c r="Z531" s="28"/>
      <c r="AK531" s="28"/>
      <c r="AS531" s="28"/>
      <c r="AT531" s="28"/>
    </row>
    <row r="532" spans="3:46" x14ac:dyDescent="0.15">
      <c r="C532" s="11">
        <v>8.6396485567092896E-3</v>
      </c>
      <c r="D532" s="11">
        <v>4.9614459276199341E-3</v>
      </c>
      <c r="E532" s="11">
        <v>0.21095233604207031</v>
      </c>
      <c r="F532" s="11">
        <v>0</v>
      </c>
      <c r="G532" s="11">
        <v>3.7718623876571655E-2</v>
      </c>
      <c r="H532" s="40">
        <v>4.3024421051416348E-4</v>
      </c>
      <c r="I532" s="40">
        <v>1.4593750804677845</v>
      </c>
      <c r="J532" s="59">
        <v>0</v>
      </c>
      <c r="K532" s="59">
        <v>5753.2475329935551</v>
      </c>
      <c r="L532" s="59">
        <v>0</v>
      </c>
      <c r="M532" s="11">
        <v>0.86706513166427612</v>
      </c>
      <c r="N532" s="11">
        <v>0.79260784387588501</v>
      </c>
      <c r="O532" s="11">
        <v>0.28463232517242432</v>
      </c>
      <c r="Q532" s="59">
        <v>15.135026909728017</v>
      </c>
      <c r="R532" s="78">
        <v>518.04426964448942</v>
      </c>
      <c r="S532" s="78">
        <v>15.172822059431514</v>
      </c>
      <c r="T532" s="78">
        <v>605.55032627263347</v>
      </c>
      <c r="U532" s="78">
        <v>3.7795149703496733E-2</v>
      </c>
      <c r="V532" s="78">
        <v>87.506056628144052</v>
      </c>
      <c r="Y532" s="28"/>
      <c r="Z532" s="28"/>
      <c r="AK532" s="28"/>
      <c r="AS532" s="28"/>
      <c r="AT532" s="28"/>
    </row>
    <row r="533" spans="3:46" x14ac:dyDescent="0.15">
      <c r="C533" s="11">
        <v>9.6018165349960327E-3</v>
      </c>
      <c r="D533" s="11">
        <v>3.4972429275512695E-2</v>
      </c>
      <c r="E533" s="11">
        <v>0.25409993359041927</v>
      </c>
      <c r="F533" s="11">
        <v>0</v>
      </c>
      <c r="G533" s="11">
        <v>3.9241939783096313E-2</v>
      </c>
      <c r="H533" s="40">
        <v>5.7058198416333765E-4</v>
      </c>
      <c r="I533" s="40">
        <v>1.4549534164439215</v>
      </c>
      <c r="J533" s="59">
        <v>0</v>
      </c>
      <c r="K533" s="59">
        <v>4154.0386155247688</v>
      </c>
      <c r="L533" s="59">
        <v>0</v>
      </c>
      <c r="M533" s="11">
        <v>0.8564145565032959</v>
      </c>
      <c r="N533" s="11">
        <v>0.72434008121490479</v>
      </c>
      <c r="O533" s="11">
        <v>0.35165548324584961</v>
      </c>
      <c r="Q533" s="59">
        <v>14.890869525018903</v>
      </c>
      <c r="R533" s="78">
        <v>510.47136798359423</v>
      </c>
      <c r="S533" s="78">
        <v>14.958440387919492</v>
      </c>
      <c r="T533" s="78">
        <v>609.12895704346329</v>
      </c>
      <c r="U533" s="78">
        <v>6.7570862900588224E-2</v>
      </c>
      <c r="V533" s="78">
        <v>98.657589059869053</v>
      </c>
      <c r="Y533" s="28"/>
      <c r="Z533" s="28"/>
      <c r="AK533" s="28"/>
      <c r="AS533" s="28"/>
      <c r="AT533" s="28"/>
    </row>
    <row r="534" spans="3:46" x14ac:dyDescent="0.15">
      <c r="C534" s="11">
        <v>2.0979344844818115E-2</v>
      </c>
      <c r="D534" s="11">
        <v>2.7908265590667725E-2</v>
      </c>
      <c r="E534" s="11">
        <v>0.54852783688607054</v>
      </c>
      <c r="F534" s="11">
        <v>0</v>
      </c>
      <c r="G534" s="11">
        <v>2.5505870580673218E-2</v>
      </c>
      <c r="H534" s="40">
        <v>3.5234034710376113E-4</v>
      </c>
      <c r="I534" s="40">
        <v>1.541535080975591</v>
      </c>
      <c r="J534" s="59">
        <v>0</v>
      </c>
      <c r="K534" s="59">
        <v>5856.2937192618847</v>
      </c>
      <c r="L534" s="59">
        <v>0</v>
      </c>
      <c r="M534" s="11">
        <v>0.84006702899932861</v>
      </c>
      <c r="N534" s="11">
        <v>0.70643436908721924</v>
      </c>
      <c r="O534" s="11">
        <v>0.3102090060710907</v>
      </c>
      <c r="Q534" s="59">
        <v>14.457392839099059</v>
      </c>
      <c r="R534" s="78">
        <v>514.97876870406344</v>
      </c>
      <c r="S534" s="78">
        <v>14.488546203664331</v>
      </c>
      <c r="T534" s="78">
        <v>645.97164715918689</v>
      </c>
      <c r="U534" s="78">
        <v>3.1153364565271957E-2</v>
      </c>
      <c r="V534" s="78">
        <v>130.99287845512345</v>
      </c>
      <c r="Y534" s="28"/>
      <c r="Z534" s="28"/>
      <c r="AK534" s="28"/>
      <c r="AS534" s="28"/>
      <c r="AT534" s="28"/>
    </row>
    <row r="535" spans="3:46" x14ac:dyDescent="0.15">
      <c r="C535" s="11">
        <v>8.5612833499908447E-3</v>
      </c>
      <c r="D535" s="11">
        <v>7.7023059129714966E-3</v>
      </c>
      <c r="E535" s="11">
        <v>0.16401029584471438</v>
      </c>
      <c r="F535" s="11">
        <v>0</v>
      </c>
      <c r="G535" s="11">
        <v>3.1308829784393311E-2</v>
      </c>
      <c r="H535" s="40">
        <v>4.9970618895955887E-4</v>
      </c>
      <c r="I535" s="40">
        <v>1.4001996787033513</v>
      </c>
      <c r="J535" s="59">
        <v>0</v>
      </c>
      <c r="K535" s="59">
        <v>3110.1284548640251</v>
      </c>
      <c r="L535" s="59">
        <v>0</v>
      </c>
      <c r="M535" s="11">
        <v>0.86185899376869202</v>
      </c>
      <c r="N535" s="11">
        <v>0.71987885236740112</v>
      </c>
      <c r="O535" s="11">
        <v>0.3012363612651825</v>
      </c>
      <c r="Q535" s="59">
        <v>15.02828878838009</v>
      </c>
      <c r="R535" s="78">
        <v>457.2742812619544</v>
      </c>
      <c r="S535" s="78">
        <v>15.082358906215406</v>
      </c>
      <c r="T535" s="78">
        <v>589.53075250189329</v>
      </c>
      <c r="U535" s="78">
        <v>5.4070117835316012E-2</v>
      </c>
      <c r="V535" s="78">
        <v>132.25647123993889</v>
      </c>
      <c r="Y535" s="28"/>
      <c r="Z535" s="28"/>
      <c r="AK535" s="28"/>
      <c r="AS535" s="28"/>
      <c r="AT535" s="28"/>
    </row>
    <row r="536" spans="3:46" x14ac:dyDescent="0.15">
      <c r="C536" s="11">
        <v>3.8460612297058105E-2</v>
      </c>
      <c r="D536" s="11">
        <v>6.5690577030181885E-3</v>
      </c>
      <c r="E536" s="11">
        <v>0.18359477424862602</v>
      </c>
      <c r="F536" s="11">
        <v>0</v>
      </c>
      <c r="G536" s="11">
        <v>3.8902968168258667E-2</v>
      </c>
      <c r="H536" s="40">
        <v>3.3550907961565646E-4</v>
      </c>
      <c r="I536" s="40">
        <v>1.5633130532858726</v>
      </c>
      <c r="J536" s="59">
        <v>0</v>
      </c>
      <c r="K536" s="59">
        <v>4872.7868124842644</v>
      </c>
      <c r="L536" s="59">
        <v>0</v>
      </c>
      <c r="M536" s="11">
        <v>0.83026200532913208</v>
      </c>
      <c r="N536" s="11">
        <v>0.74426698684692383</v>
      </c>
      <c r="O536" s="11">
        <v>0.25258421897888184</v>
      </c>
      <c r="Q536" s="59">
        <v>14.047642477313225</v>
      </c>
      <c r="R536" s="78">
        <v>502.23698194963828</v>
      </c>
      <c r="S536" s="78">
        <v>14.091294843497012</v>
      </c>
      <c r="T536" s="78">
        <v>599.20936942730498</v>
      </c>
      <c r="U536" s="78">
        <v>4.3652366183787095E-2</v>
      </c>
      <c r="V536" s="78">
        <v>96.9723874776667</v>
      </c>
      <c r="Y536" s="28"/>
      <c r="Z536" s="28"/>
      <c r="AK536" s="28"/>
      <c r="AS536" s="28"/>
      <c r="AT536" s="28"/>
    </row>
    <row r="537" spans="3:46" x14ac:dyDescent="0.15">
      <c r="C537" s="11">
        <v>4.182279109954834E-2</v>
      </c>
      <c r="D537" s="11">
        <v>1.0458230972290039E-3</v>
      </c>
      <c r="E537" s="11">
        <v>0.43968458520216869</v>
      </c>
      <c r="F537" s="11">
        <v>0</v>
      </c>
      <c r="G537" s="11">
        <v>1.597219705581665E-2</v>
      </c>
      <c r="H537" s="40">
        <v>3.871883646151669E-4</v>
      </c>
      <c r="I537" s="40">
        <v>1.5539774698136306</v>
      </c>
      <c r="J537" s="59">
        <v>0</v>
      </c>
      <c r="K537" s="59">
        <v>6503.0995756387711</v>
      </c>
      <c r="L537" s="59">
        <v>0</v>
      </c>
      <c r="M537" s="11">
        <v>0.84954798221588135</v>
      </c>
      <c r="N537" s="11">
        <v>0.7676396369934082</v>
      </c>
      <c r="O537" s="11">
        <v>0.28867790102958679</v>
      </c>
      <c r="Q537" s="59">
        <v>14.326248342462785</v>
      </c>
      <c r="R537" s="78">
        <v>535.9401429893403</v>
      </c>
      <c r="S537" s="78">
        <v>14.355144005852177</v>
      </c>
      <c r="T537" s="78">
        <v>642.23808821350508</v>
      </c>
      <c r="U537" s="78">
        <v>2.8895663389391757E-2</v>
      </c>
      <c r="V537" s="78">
        <v>106.29794522416478</v>
      </c>
      <c r="Y537" s="28"/>
      <c r="Z537" s="28"/>
      <c r="AK537" s="28"/>
      <c r="AS537" s="28"/>
      <c r="AT537" s="28"/>
    </row>
    <row r="538" spans="3:46" x14ac:dyDescent="0.15">
      <c r="C538" s="11">
        <v>1.9801497459411621E-2</v>
      </c>
      <c r="D538" s="11">
        <v>6.9132149219512939E-3</v>
      </c>
      <c r="E538" s="11">
        <v>0.47925171872708527</v>
      </c>
      <c r="F538" s="11">
        <v>0</v>
      </c>
      <c r="G538" s="11">
        <v>2.2837221622467041E-2</v>
      </c>
      <c r="H538" s="40">
        <v>3.9160410884561729E-4</v>
      </c>
      <c r="I538" s="40">
        <v>1.4165884710466257</v>
      </c>
      <c r="J538" s="59">
        <v>0</v>
      </c>
      <c r="K538" s="59">
        <v>3825.5518302321434</v>
      </c>
      <c r="L538" s="59">
        <v>0</v>
      </c>
      <c r="M538" s="11">
        <v>0.83400958776473999</v>
      </c>
      <c r="N538" s="11">
        <v>0.77174776792526245</v>
      </c>
      <c r="O538" s="11">
        <v>0.29293811321258545</v>
      </c>
      <c r="Q538" s="59">
        <v>14.40721498263474</v>
      </c>
      <c r="R538" s="78">
        <v>454.48151257198793</v>
      </c>
      <c r="S538" s="78">
        <v>14.424085684868631</v>
      </c>
      <c r="T538" s="78">
        <v>608.20814006771741</v>
      </c>
      <c r="U538" s="78">
        <v>1.6870702233891421E-2</v>
      </c>
      <c r="V538" s="78">
        <v>153.72662749572947</v>
      </c>
      <c r="Y538" s="28"/>
      <c r="Z538" s="28"/>
      <c r="AK538" s="28"/>
      <c r="AS538" s="28"/>
      <c r="AT538" s="28"/>
    </row>
    <row r="539" spans="3:46" x14ac:dyDescent="0.15">
      <c r="C539" s="11">
        <v>3.6280989646911621E-2</v>
      </c>
      <c r="D539" s="11">
        <v>1.5101402997970581E-2</v>
      </c>
      <c r="E539" s="11">
        <v>0.23010316309777076</v>
      </c>
      <c r="F539" s="11">
        <v>0</v>
      </c>
      <c r="G539" s="11">
        <v>9.2449188232421875E-2</v>
      </c>
      <c r="H539" s="40">
        <v>4.3300530540696283E-4</v>
      </c>
      <c r="I539" s="40">
        <v>1.5165895083114342</v>
      </c>
      <c r="J539" s="59">
        <v>0</v>
      </c>
      <c r="K539" s="59">
        <v>5583.5326202213764</v>
      </c>
      <c r="L539" s="59">
        <v>0</v>
      </c>
      <c r="M539" s="11">
        <v>0.8426378071308136</v>
      </c>
      <c r="N539" s="11">
        <v>0.74737417697906494</v>
      </c>
      <c r="O539" s="11">
        <v>0.34265279769897461</v>
      </c>
      <c r="Q539" s="59">
        <v>14.273974748687477</v>
      </c>
      <c r="R539" s="78">
        <v>569.33681525063139</v>
      </c>
      <c r="S539" s="78">
        <v>14.327555682909074</v>
      </c>
      <c r="T539" s="78">
        <v>620.02460099387895</v>
      </c>
      <c r="U539" s="78">
        <v>5.3580934221596266E-2</v>
      </c>
      <c r="V539" s="78">
        <v>50.687785743247559</v>
      </c>
      <c r="Y539" s="28"/>
      <c r="Z539" s="28"/>
      <c r="AK539" s="28"/>
      <c r="AS539" s="28"/>
      <c r="AT539" s="28"/>
    </row>
    <row r="540" spans="3:46" x14ac:dyDescent="0.15">
      <c r="C540" s="11">
        <v>7.7056884765625E-2</v>
      </c>
      <c r="D540" s="11">
        <v>1.7593353986740112E-2</v>
      </c>
      <c r="E540" s="11">
        <v>0.20177297858150625</v>
      </c>
      <c r="F540" s="11">
        <v>0</v>
      </c>
      <c r="G540" s="11">
        <v>3.7135720252990723E-2</v>
      </c>
      <c r="H540" s="40">
        <v>4.3421307358842591E-4</v>
      </c>
      <c r="I540" s="40">
        <v>1.3680508531976561</v>
      </c>
      <c r="J540" s="59">
        <v>0</v>
      </c>
      <c r="K540" s="59">
        <v>3353.0034124851227</v>
      </c>
      <c r="L540" s="59">
        <v>0</v>
      </c>
      <c r="M540" s="11">
        <v>0.84699183702468872</v>
      </c>
      <c r="N540" s="11">
        <v>0.79091155529022217</v>
      </c>
      <c r="O540" s="11">
        <v>0.32017225027084351</v>
      </c>
      <c r="Q540" s="59">
        <v>13.776458067090537</v>
      </c>
      <c r="R540" s="78">
        <v>445.89781274038285</v>
      </c>
      <c r="S540" s="78">
        <v>13.80160572402767</v>
      </c>
      <c r="T540" s="78">
        <v>589.58553052463128</v>
      </c>
      <c r="U540" s="78">
        <v>2.5147656937132723E-2</v>
      </c>
      <c r="V540" s="78">
        <v>143.68771778424843</v>
      </c>
      <c r="Y540" s="28"/>
      <c r="Z540" s="28"/>
      <c r="AK540" s="28"/>
      <c r="AS540" s="28"/>
      <c r="AT540" s="28"/>
    </row>
    <row r="541" spans="3:46" x14ac:dyDescent="0.15">
      <c r="C541" s="11">
        <v>1.8972545862197876E-2</v>
      </c>
      <c r="D541" s="11">
        <v>2.9113173484802246E-2</v>
      </c>
      <c r="E541" s="11">
        <v>0.22969126300594647</v>
      </c>
      <c r="F541" s="11">
        <v>0</v>
      </c>
      <c r="G541" s="11">
        <v>4.7496140003204346E-2</v>
      </c>
      <c r="H541" s="40">
        <v>3.5981111287066445E-4</v>
      </c>
      <c r="I541" s="40">
        <v>1.5165554750301351</v>
      </c>
      <c r="J541" s="59">
        <v>0</v>
      </c>
      <c r="K541" s="59">
        <v>3098.510205745697</v>
      </c>
      <c r="L541" s="59">
        <v>0</v>
      </c>
      <c r="M541" s="11">
        <v>0.85108569264411926</v>
      </c>
      <c r="N541" s="11">
        <v>0.77422875165939331</v>
      </c>
      <c r="O541" s="11">
        <v>0.27010315656661987</v>
      </c>
      <c r="Q541" s="59">
        <v>14.691172550134372</v>
      </c>
      <c r="R541" s="78">
        <v>462.14564967619435</v>
      </c>
      <c r="S541" s="78">
        <v>14.734723058004427</v>
      </c>
      <c r="T541" s="78">
        <v>594.87906768875814</v>
      </c>
      <c r="U541" s="78">
        <v>4.35505078700551E-2</v>
      </c>
      <c r="V541" s="78">
        <v>132.73341801256379</v>
      </c>
      <c r="Y541" s="28"/>
      <c r="Z541" s="28"/>
      <c r="AK541" s="28"/>
      <c r="AS541" s="28"/>
      <c r="AT541" s="28"/>
    </row>
    <row r="542" spans="3:46" x14ac:dyDescent="0.15">
      <c r="C542" s="11">
        <v>1.352575421333313E-2</v>
      </c>
      <c r="D542" s="11">
        <v>2.7825146913528442E-2</v>
      </c>
      <c r="E542" s="11">
        <v>0.19875088001925539</v>
      </c>
      <c r="F542" s="11">
        <v>0</v>
      </c>
      <c r="G542" s="11">
        <v>7.5159311294555664E-2</v>
      </c>
      <c r="H542" s="40">
        <v>4.9002231599072177E-4</v>
      </c>
      <c r="I542" s="40">
        <v>1.4766912354446806</v>
      </c>
      <c r="J542" s="59">
        <v>0</v>
      </c>
      <c r="K542" s="59">
        <v>4832.753911614418</v>
      </c>
      <c r="L542" s="59">
        <v>0</v>
      </c>
      <c r="M542" s="11">
        <v>0.82306700944900513</v>
      </c>
      <c r="N542" s="11">
        <v>0.72192734479904175</v>
      </c>
      <c r="O542" s="11">
        <v>0.28902909159660339</v>
      </c>
      <c r="Q542" s="59">
        <v>14.263469120565741</v>
      </c>
      <c r="R542" s="78">
        <v>539.60230114771696</v>
      </c>
      <c r="S542" s="78">
        <v>14.325804791974445</v>
      </c>
      <c r="T542" s="78">
        <v>608.44385198273665</v>
      </c>
      <c r="U542" s="78">
        <v>6.2335671408703774E-2</v>
      </c>
      <c r="V542" s="78">
        <v>68.841550835019689</v>
      </c>
      <c r="Y542" s="28"/>
      <c r="Z542" s="28"/>
      <c r="AK542" s="28"/>
      <c r="AS542" s="28"/>
      <c r="AT542" s="28"/>
    </row>
    <row r="543" spans="3:46" x14ac:dyDescent="0.15">
      <c r="C543" s="11">
        <v>2.7677088975906372E-2</v>
      </c>
      <c r="D543" s="11">
        <v>2.5890171527862549E-3</v>
      </c>
      <c r="E543" s="11">
        <v>0.36772748669332184</v>
      </c>
      <c r="F543" s="11">
        <v>0</v>
      </c>
      <c r="G543" s="11">
        <v>4.9241095781326294E-2</v>
      </c>
      <c r="H543" s="40">
        <v>3.291419498493014E-4</v>
      </c>
      <c r="I543" s="40">
        <v>1.5167811233940276</v>
      </c>
      <c r="J543" s="59">
        <v>0</v>
      </c>
      <c r="K543" s="59">
        <v>2814.4102543592453</v>
      </c>
      <c r="L543" s="59">
        <v>0</v>
      </c>
      <c r="M543" s="11">
        <v>0.82204490900039673</v>
      </c>
      <c r="N543" s="11">
        <v>0.82479071617126465</v>
      </c>
      <c r="O543" s="11">
        <v>0.33159482479095459</v>
      </c>
      <c r="Q543" s="59">
        <v>14.09808508013437</v>
      </c>
      <c r="R543" s="78">
        <v>451.20137236264486</v>
      </c>
      <c r="S543" s="78">
        <v>14.110806102181991</v>
      </c>
      <c r="T543" s="78">
        <v>600.26216980646677</v>
      </c>
      <c r="U543" s="78">
        <v>1.2721022047621489E-2</v>
      </c>
      <c r="V543" s="78">
        <v>149.06079744382191</v>
      </c>
      <c r="Y543" s="28"/>
      <c r="Z543" s="28"/>
      <c r="AK543" s="28"/>
      <c r="AS543" s="28"/>
      <c r="AT543" s="28"/>
    </row>
    <row r="544" spans="3:46" x14ac:dyDescent="0.15">
      <c r="C544" s="11">
        <v>3.2700300216674805E-3</v>
      </c>
      <c r="D544" s="11">
        <v>1.0691285133361816E-3</v>
      </c>
      <c r="E544" s="11">
        <v>0.28733106353534121</v>
      </c>
      <c r="F544" s="11">
        <v>0</v>
      </c>
      <c r="G544" s="11">
        <v>1.86614990234375E-2</v>
      </c>
      <c r="H544" s="40">
        <v>3.6769046526674651E-4</v>
      </c>
      <c r="I544" s="40">
        <v>1.5818998562151494</v>
      </c>
      <c r="J544" s="59">
        <v>0</v>
      </c>
      <c r="K544" s="59">
        <v>3853.8477383553982</v>
      </c>
      <c r="L544" s="59">
        <v>0</v>
      </c>
      <c r="M544" s="11">
        <v>0.80635952949523926</v>
      </c>
      <c r="N544" s="11">
        <v>0.74739181995391846</v>
      </c>
      <c r="O544" s="11">
        <v>0.30849754810333252</v>
      </c>
      <c r="Q544" s="59">
        <v>14.15137440625662</v>
      </c>
      <c r="R544" s="78">
        <v>485.6430747760283</v>
      </c>
      <c r="S544" s="78">
        <v>14.183341206270091</v>
      </c>
      <c r="T544" s="78">
        <v>605.79804806035929</v>
      </c>
      <c r="U544" s="78">
        <v>3.1966800013471186E-2</v>
      </c>
      <c r="V544" s="78">
        <v>120.15497328433099</v>
      </c>
      <c r="Y544" s="28"/>
      <c r="Z544" s="28"/>
      <c r="AK544" s="28"/>
      <c r="AS544" s="28"/>
      <c r="AT544" s="28"/>
    </row>
    <row r="545" spans="3:46" x14ac:dyDescent="0.15">
      <c r="C545" s="11">
        <v>3.8666605949401855E-2</v>
      </c>
      <c r="D545" s="11">
        <v>6.0432553291320801E-3</v>
      </c>
      <c r="E545" s="11">
        <v>0.29574722740207571</v>
      </c>
      <c r="F545" s="11">
        <v>0</v>
      </c>
      <c r="G545" s="11">
        <v>3.2520920038223267E-2</v>
      </c>
      <c r="H545" s="40">
        <v>4.2502442221233674E-4</v>
      </c>
      <c r="I545" s="40">
        <v>1.4488883138310087</v>
      </c>
      <c r="J545" s="59">
        <v>0</v>
      </c>
      <c r="K545" s="59">
        <v>4895.5483362078667</v>
      </c>
      <c r="L545" s="59">
        <v>0</v>
      </c>
      <c r="M545" s="11">
        <v>0.7346038818359375</v>
      </c>
      <c r="N545" s="11">
        <v>0.8306889533996582</v>
      </c>
      <c r="O545" s="11">
        <v>0.31881570816040039</v>
      </c>
      <c r="Q545" s="59">
        <v>12.482556853325928</v>
      </c>
      <c r="R545" s="78">
        <v>489.41801238074748</v>
      </c>
      <c r="S545" s="78">
        <v>12.476549403571427</v>
      </c>
      <c r="T545" s="78">
        <v>607.57202197861682</v>
      </c>
      <c r="U545" s="78">
        <v>-6.0074497545006267E-3</v>
      </c>
      <c r="V545" s="78">
        <v>118.15400959786933</v>
      </c>
      <c r="Y545" s="28"/>
      <c r="Z545" s="28"/>
      <c r="AK545" s="28"/>
      <c r="AS545" s="28"/>
      <c r="AT545" s="28"/>
    </row>
    <row r="546" spans="3:46" x14ac:dyDescent="0.15">
      <c r="C546" s="11">
        <v>2.028733491897583E-2</v>
      </c>
      <c r="D546" s="11">
        <v>2.0032137632369995E-2</v>
      </c>
      <c r="E546" s="11">
        <v>0.21995794307208671</v>
      </c>
      <c r="F546" s="11">
        <v>0</v>
      </c>
      <c r="G546" s="11">
        <v>5.4229915142059326E-2</v>
      </c>
      <c r="H546" s="40">
        <v>3.7217150715694868E-4</v>
      </c>
      <c r="I546" s="40">
        <v>1.5824116065879248</v>
      </c>
      <c r="J546" s="59">
        <v>0</v>
      </c>
      <c r="K546" s="59">
        <v>4840.2859829366207</v>
      </c>
      <c r="L546" s="59">
        <v>0</v>
      </c>
      <c r="M546" s="11">
        <v>0.8457338809967041</v>
      </c>
      <c r="N546" s="11">
        <v>0.74882346391677856</v>
      </c>
      <c r="O546" s="11">
        <v>0.30611515045166016</v>
      </c>
      <c r="Q546" s="59">
        <v>14.562080267897635</v>
      </c>
      <c r="R546" s="78">
        <v>531.28722580026147</v>
      </c>
      <c r="S546" s="78">
        <v>14.619080072926419</v>
      </c>
      <c r="T546" s="78">
        <v>609.77046391379508</v>
      </c>
      <c r="U546" s="78">
        <v>5.6999805028784323E-2</v>
      </c>
      <c r="V546" s="78">
        <v>78.483238113533616</v>
      </c>
      <c r="Y546" s="28"/>
      <c r="Z546" s="28"/>
      <c r="AK546" s="28"/>
      <c r="AS546" s="28"/>
      <c r="AT546" s="28"/>
    </row>
    <row r="547" spans="3:46" x14ac:dyDescent="0.15">
      <c r="C547" s="11">
        <v>2.4211406707763672E-2</v>
      </c>
      <c r="D547" s="11">
        <v>2.1905183792114258E-2</v>
      </c>
      <c r="E547" s="11">
        <v>0.34500414104386995</v>
      </c>
      <c r="F547" s="11">
        <v>0</v>
      </c>
      <c r="G547" s="11">
        <v>3.6586582660675049E-2</v>
      </c>
      <c r="H547" s="40">
        <v>6.5430148629186987E-4</v>
      </c>
      <c r="I547" s="40">
        <v>1.4249238017016985</v>
      </c>
      <c r="J547" s="59">
        <v>0</v>
      </c>
      <c r="K547" s="59">
        <v>4559.9532313644886</v>
      </c>
      <c r="L547" s="59">
        <v>0</v>
      </c>
      <c r="M547" s="11">
        <v>0.8613140881061554</v>
      </c>
      <c r="N547" s="11">
        <v>0.71297585964202881</v>
      </c>
      <c r="O547" s="11">
        <v>0.25422787666320801</v>
      </c>
      <c r="Q547" s="59">
        <v>14.744928150272974</v>
      </c>
      <c r="R547" s="78">
        <v>524.82861803826484</v>
      </c>
      <c r="S547" s="78">
        <v>14.810180356077588</v>
      </c>
      <c r="T547" s="78">
        <v>624.87399256460151</v>
      </c>
      <c r="U547" s="78">
        <v>6.5252205804613439E-2</v>
      </c>
      <c r="V547" s="78">
        <v>100.04537452633667</v>
      </c>
      <c r="Y547" s="28"/>
      <c r="Z547" s="28"/>
      <c r="AK547" s="28"/>
      <c r="AS547" s="28"/>
      <c r="AT547" s="28"/>
    </row>
    <row r="548" spans="3:46" x14ac:dyDescent="0.15">
      <c r="C548" s="11">
        <v>1.2691318988800049E-2</v>
      </c>
      <c r="D548" s="11">
        <v>2.189558744430542E-2</v>
      </c>
      <c r="E548" s="11">
        <v>0.29170610119150264</v>
      </c>
      <c r="F548" s="11">
        <v>0</v>
      </c>
      <c r="G548" s="11">
        <v>0.11092567443847656</v>
      </c>
      <c r="H548" s="40">
        <v>4.9765492051185765E-4</v>
      </c>
      <c r="I548" s="40">
        <v>1.4411864558740446</v>
      </c>
      <c r="J548" s="59">
        <v>0</v>
      </c>
      <c r="K548" s="59">
        <v>3893.4242911636829</v>
      </c>
      <c r="L548" s="59">
        <v>0</v>
      </c>
      <c r="M548" s="11">
        <v>0.84038114547729492</v>
      </c>
      <c r="N548" s="11">
        <v>0.67799639701843262</v>
      </c>
      <c r="O548" s="11">
        <v>0.30804860591888428</v>
      </c>
      <c r="Q548" s="59">
        <v>14.563455211895548</v>
      </c>
      <c r="R548" s="78">
        <v>517.09793860153013</v>
      </c>
      <c r="S548" s="78">
        <v>14.62839569394081</v>
      </c>
      <c r="T548" s="78">
        <v>615.3947769635887</v>
      </c>
      <c r="U548" s="78">
        <v>6.4940482045262371E-2</v>
      </c>
      <c r="V548" s="78">
        <v>98.296838362058566</v>
      </c>
      <c r="Y548" s="28"/>
      <c r="Z548" s="28"/>
      <c r="AK548" s="28"/>
      <c r="AS548" s="28"/>
      <c r="AT548" s="28"/>
    </row>
    <row r="549" spans="3:46" x14ac:dyDescent="0.15">
      <c r="C549" s="11">
        <v>1.2308895587921143E-2</v>
      </c>
      <c r="D549" s="11">
        <v>1.4966279268264771E-2</v>
      </c>
      <c r="E549" s="11">
        <v>0.48288688238041882</v>
      </c>
      <c r="F549" s="11">
        <v>0</v>
      </c>
      <c r="G549" s="11">
        <v>1.5239536762237549E-2</v>
      </c>
      <c r="H549" s="40">
        <v>3.5274810448655824E-4</v>
      </c>
      <c r="I549" s="40">
        <v>1.4437594366500841</v>
      </c>
      <c r="J549" s="59">
        <v>0</v>
      </c>
      <c r="K549" s="59">
        <v>4771.5590335428715</v>
      </c>
      <c r="L549" s="59">
        <v>0</v>
      </c>
      <c r="M549" s="11">
        <v>0.8614041805267334</v>
      </c>
      <c r="N549" s="11">
        <v>0.7153395414352417</v>
      </c>
      <c r="O549" s="11">
        <v>0.27043306827545166</v>
      </c>
      <c r="Q549" s="59">
        <v>14.974369514945204</v>
      </c>
      <c r="R549" s="78">
        <v>464.79737472300474</v>
      </c>
      <c r="S549" s="78">
        <v>15.001980471956522</v>
      </c>
      <c r="T549" s="78">
        <v>613.44749723225902</v>
      </c>
      <c r="U549" s="78">
        <v>2.7610957011317439E-2</v>
      </c>
      <c r="V549" s="78">
        <v>148.65012250925429</v>
      </c>
      <c r="Y549" s="28"/>
      <c r="Z549" s="28"/>
      <c r="AK549" s="28"/>
      <c r="AS549" s="28"/>
      <c r="AT549" s="28"/>
    </row>
    <row r="550" spans="3:46" x14ac:dyDescent="0.15">
      <c r="C550" s="11">
        <v>1.5368044376373291E-2</v>
      </c>
      <c r="D550" s="11">
        <v>1.2258708477020264E-2</v>
      </c>
      <c r="E550" s="11">
        <v>0.27062930406354457</v>
      </c>
      <c r="F550" s="11">
        <v>0</v>
      </c>
      <c r="G550" s="11">
        <v>9.0635299682617188E-2</v>
      </c>
      <c r="H550" s="40">
        <v>5.3893658986207515E-4</v>
      </c>
      <c r="I550" s="40">
        <v>1.4066241107619544</v>
      </c>
      <c r="J550" s="59">
        <v>0</v>
      </c>
      <c r="K550" s="59">
        <v>3413.6511385440826</v>
      </c>
      <c r="L550" s="59">
        <v>0</v>
      </c>
      <c r="M550" s="11">
        <v>0.8450312614440918</v>
      </c>
      <c r="N550" s="11">
        <v>0.77319073677062988</v>
      </c>
      <c r="O550" s="11">
        <v>0.27317321300506592</v>
      </c>
      <c r="Q550" s="59">
        <v>14.63661618488908</v>
      </c>
      <c r="R550" s="78">
        <v>492.86792462280783</v>
      </c>
      <c r="S550" s="78">
        <v>14.680309417666177</v>
      </c>
      <c r="T550" s="78">
        <v>606.11856317176034</v>
      </c>
      <c r="U550" s="78">
        <v>4.3693232777096469E-2</v>
      </c>
      <c r="V550" s="78">
        <v>113.25063854895251</v>
      </c>
      <c r="Y550" s="28"/>
      <c r="Z550" s="28"/>
      <c r="AK550" s="28"/>
      <c r="AS550" s="28"/>
      <c r="AT550" s="28"/>
    </row>
    <row r="551" spans="3:46" x14ac:dyDescent="0.15">
      <c r="C551" s="11">
        <v>2.112966775894165E-2</v>
      </c>
      <c r="D551" s="11">
        <v>6.6300392150878906E-2</v>
      </c>
      <c r="E551" s="11">
        <v>0.29883650572200837</v>
      </c>
      <c r="F551" s="11">
        <v>0</v>
      </c>
      <c r="G551" s="11">
        <v>4.1256040334701538E-2</v>
      </c>
      <c r="H551" s="40">
        <v>4.5392307842515169E-4</v>
      </c>
      <c r="I551" s="40">
        <v>1.4510695903852673</v>
      </c>
      <c r="J551" s="59">
        <v>0</v>
      </c>
      <c r="K551" s="59">
        <v>3893.4755139052868</v>
      </c>
      <c r="L551" s="59">
        <v>0</v>
      </c>
      <c r="M551" s="11">
        <v>0.83573430776596069</v>
      </c>
      <c r="N551" s="11">
        <v>0.72562754154205322</v>
      </c>
      <c r="O551" s="11">
        <v>0.34288632869720459</v>
      </c>
      <c r="Q551" s="59">
        <v>14.376558155677467</v>
      </c>
      <c r="R551" s="78">
        <v>479.40622673842984</v>
      </c>
      <c r="S551" s="78">
        <v>14.427821047067342</v>
      </c>
      <c r="T551" s="78">
        <v>604.86195573330679</v>
      </c>
      <c r="U551" s="78">
        <v>5.1262891389875165E-2</v>
      </c>
      <c r="V551" s="78">
        <v>125.45572899487695</v>
      </c>
      <c r="Y551" s="28"/>
      <c r="Z551" s="28"/>
      <c r="AK551" s="28"/>
      <c r="AS551" s="28"/>
      <c r="AT551" s="28"/>
    </row>
    <row r="552" spans="3:46" x14ac:dyDescent="0.15">
      <c r="C552" s="11">
        <v>3.953629732131958E-2</v>
      </c>
      <c r="D552" s="11">
        <v>1.6397744417190552E-2</v>
      </c>
      <c r="E552" s="11">
        <v>0.4128870320757495</v>
      </c>
      <c r="F552" s="11">
        <v>0</v>
      </c>
      <c r="G552" s="11">
        <v>2.0080894231796265E-2</v>
      </c>
      <c r="H552" s="40">
        <v>3.3987856137686307E-4</v>
      </c>
      <c r="I552" s="40">
        <v>1.4624413405988079</v>
      </c>
      <c r="J552" s="59">
        <v>0</v>
      </c>
      <c r="K552" s="59">
        <v>9045.3773736953735</v>
      </c>
      <c r="L552" s="59">
        <v>0</v>
      </c>
      <c r="M552" s="11">
        <v>0.87383931875228882</v>
      </c>
      <c r="N552" s="11">
        <v>0.8284153938293457</v>
      </c>
      <c r="O552" s="11">
        <v>0.29220616817474365</v>
      </c>
      <c r="Q552" s="59">
        <v>14.793641015518528</v>
      </c>
      <c r="R552" s="78">
        <v>530.73518409327562</v>
      </c>
      <c r="S552" s="78">
        <v>14.811844854424576</v>
      </c>
      <c r="T552" s="78">
        <v>635.95575176044167</v>
      </c>
      <c r="U552" s="78">
        <v>1.8203838906048375E-2</v>
      </c>
      <c r="V552" s="78">
        <v>105.22056766716605</v>
      </c>
      <c r="Y552" s="28"/>
      <c r="Z552" s="28"/>
      <c r="AK552" s="28"/>
      <c r="AS552" s="28"/>
      <c r="AT552" s="28"/>
    </row>
    <row r="553" spans="3:46" x14ac:dyDescent="0.15">
      <c r="C553" s="11">
        <v>2.3850083351135254E-2</v>
      </c>
      <c r="D553" s="11">
        <v>3.2134652137756348E-2</v>
      </c>
      <c r="E553" s="11">
        <v>0.19567005318777203</v>
      </c>
      <c r="F553" s="11">
        <v>0</v>
      </c>
      <c r="G553" s="11">
        <v>7.6115608215332031E-2</v>
      </c>
      <c r="H553" s="40">
        <v>5.4856738397414623E-4</v>
      </c>
      <c r="I553" s="40">
        <v>1.4747863750349133</v>
      </c>
      <c r="J553" s="59">
        <v>0</v>
      </c>
      <c r="K553" s="59">
        <v>4159.6358641982079</v>
      </c>
      <c r="L553" s="59">
        <v>0</v>
      </c>
      <c r="M553" s="11">
        <v>0.84903568029403687</v>
      </c>
      <c r="N553" s="11">
        <v>0.74394208192825317</v>
      </c>
      <c r="O553" s="11">
        <v>0.3390432596206665</v>
      </c>
      <c r="Q553" s="59">
        <v>14.55117841943008</v>
      </c>
      <c r="R553" s="78">
        <v>531.96141939648737</v>
      </c>
      <c r="S553" s="78">
        <v>14.62168620351364</v>
      </c>
      <c r="T553" s="78">
        <v>606.52077959034</v>
      </c>
      <c r="U553" s="78">
        <v>7.0507784083559955E-2</v>
      </c>
      <c r="V553" s="78">
        <v>74.559360193852626</v>
      </c>
      <c r="Y553" s="28"/>
      <c r="Z553" s="28"/>
      <c r="AK553" s="28"/>
      <c r="AS553" s="28"/>
      <c r="AT553" s="28"/>
    </row>
    <row r="554" spans="3:46" x14ac:dyDescent="0.15">
      <c r="C554" s="11">
        <v>7.7595710754394531E-3</v>
      </c>
      <c r="D554" s="11">
        <v>2.433854341506958E-2</v>
      </c>
      <c r="E554" s="11">
        <v>0.26176164338232361</v>
      </c>
      <c r="F554" s="11">
        <v>0</v>
      </c>
      <c r="G554" s="11">
        <v>6.1247885227203369E-2</v>
      </c>
      <c r="H554" s="40">
        <v>5.1910623543021945E-4</v>
      </c>
      <c r="I554" s="40">
        <v>1.3822983378877116</v>
      </c>
      <c r="J554" s="59">
        <v>0</v>
      </c>
      <c r="K554" s="59">
        <v>3711.9979970157146</v>
      </c>
      <c r="L554" s="59">
        <v>0</v>
      </c>
      <c r="M554" s="11">
        <v>0.86040166020393372</v>
      </c>
      <c r="N554" s="11">
        <v>0.71514838933944702</v>
      </c>
      <c r="O554" s="11">
        <v>0.2575380802154541</v>
      </c>
      <c r="Q554" s="59">
        <v>15.004538844427101</v>
      </c>
      <c r="R554" s="78">
        <v>479.96284607073886</v>
      </c>
      <c r="S554" s="78">
        <v>15.05984986002362</v>
      </c>
      <c r="T554" s="78">
        <v>601.78024032930057</v>
      </c>
      <c r="U554" s="78">
        <v>5.5311015596519297E-2</v>
      </c>
      <c r="V554" s="78">
        <v>121.81739425856171</v>
      </c>
      <c r="Y554" s="28"/>
      <c r="Z554" s="28"/>
      <c r="AK554" s="28"/>
      <c r="AS554" s="28"/>
      <c r="AT554" s="28"/>
    </row>
    <row r="555" spans="3:46" x14ac:dyDescent="0.15">
      <c r="C555" s="11">
        <v>1.9331887364387512E-2</v>
      </c>
      <c r="D555" s="11">
        <v>3.2219409942626953E-2</v>
      </c>
      <c r="E555" s="11">
        <v>0.21634578317457437</v>
      </c>
      <c r="F555" s="11">
        <v>0</v>
      </c>
      <c r="G555" s="11">
        <v>6.531977653503418E-2</v>
      </c>
      <c r="H555" s="40">
        <v>5.0812756171144595E-4</v>
      </c>
      <c r="I555" s="40">
        <v>1.3621041161604248</v>
      </c>
      <c r="J555" s="59">
        <v>0</v>
      </c>
      <c r="K555" s="59">
        <v>2418.8123643398285</v>
      </c>
      <c r="L555" s="59">
        <v>0</v>
      </c>
      <c r="M555" s="11">
        <v>0.86950719356536865</v>
      </c>
      <c r="N555" s="11">
        <v>0.71194374561309814</v>
      </c>
      <c r="O555" s="11">
        <v>0.31054982542991638</v>
      </c>
      <c r="Q555" s="59">
        <v>14.989175213572535</v>
      </c>
      <c r="R555" s="78">
        <v>445.9094610803005</v>
      </c>
      <c r="S555" s="78">
        <v>15.045792529257243</v>
      </c>
      <c r="T555" s="78">
        <v>590.36481651717031</v>
      </c>
      <c r="U555" s="78">
        <v>5.6617315684707847E-2</v>
      </c>
      <c r="V555" s="78">
        <v>144.45535543686981</v>
      </c>
      <c r="Y555" s="28"/>
      <c r="Z555" s="28"/>
      <c r="AK555" s="28"/>
      <c r="AS555" s="28"/>
      <c r="AT555" s="28"/>
    </row>
    <row r="556" spans="3:46" x14ac:dyDescent="0.15">
      <c r="C556" s="11">
        <v>9.33818519115448E-3</v>
      </c>
      <c r="D556" s="11">
        <v>1.1080995202064514E-2</v>
      </c>
      <c r="E556" s="11">
        <v>0.35792010953549419</v>
      </c>
      <c r="F556" s="11">
        <v>0</v>
      </c>
      <c r="G556" s="11">
        <v>9.3522071838378906E-3</v>
      </c>
      <c r="H556" s="40">
        <v>4.2059203934935663E-4</v>
      </c>
      <c r="I556" s="40">
        <v>1.5378055015081951</v>
      </c>
      <c r="J556" s="59">
        <v>0</v>
      </c>
      <c r="K556" s="59">
        <v>4517.1706005930901</v>
      </c>
      <c r="L556" s="59">
        <v>0</v>
      </c>
      <c r="M556" s="11">
        <v>0.90056371688842773</v>
      </c>
      <c r="N556" s="11">
        <v>0.79389858245849609</v>
      </c>
      <c r="O556" s="11">
        <v>0.29461514949798584</v>
      </c>
      <c r="Q556" s="59">
        <v>15.689667021423865</v>
      </c>
      <c r="R556" s="78">
        <v>495.10040801463481</v>
      </c>
      <c r="S556" s="78">
        <v>15.733500078736441</v>
      </c>
      <c r="T556" s="78">
        <v>615.75746742787373</v>
      </c>
      <c r="U556" s="78">
        <v>4.3833057312575363E-2</v>
      </c>
      <c r="V556" s="78">
        <v>120.65705941323893</v>
      </c>
      <c r="Y556" s="28"/>
      <c r="Z556" s="28"/>
      <c r="AK556" s="28"/>
      <c r="AS556" s="28"/>
      <c r="AT556" s="28"/>
    </row>
    <row r="557" spans="3:46" x14ac:dyDescent="0.15">
      <c r="C557" s="11">
        <v>1.2652218341827393E-2</v>
      </c>
      <c r="D557" s="11">
        <v>9.9453926086425781E-3</v>
      </c>
      <c r="E557" s="11">
        <v>0.2860090280464489</v>
      </c>
      <c r="F557" s="11">
        <v>0</v>
      </c>
      <c r="G557" s="11">
        <v>2.5908708572387695E-2</v>
      </c>
      <c r="H557" s="40">
        <v>4.9397361952977501E-4</v>
      </c>
      <c r="I557" s="40">
        <v>1.3945717185847453</v>
      </c>
      <c r="J557" s="59">
        <v>0</v>
      </c>
      <c r="K557" s="59">
        <v>7604.602724313736</v>
      </c>
      <c r="L557" s="59">
        <v>0</v>
      </c>
      <c r="M557" s="11">
        <v>0.85182559490203857</v>
      </c>
      <c r="N557" s="11">
        <v>0.71432590484619141</v>
      </c>
      <c r="O557" s="11">
        <v>0.34022486209869385</v>
      </c>
      <c r="Q557" s="59">
        <v>14.796237836113393</v>
      </c>
      <c r="R557" s="78">
        <v>539.33133795919923</v>
      </c>
      <c r="S557" s="78">
        <v>14.83861349885615</v>
      </c>
      <c r="T557" s="78">
        <v>621.07587867383847</v>
      </c>
      <c r="U557" s="78">
        <v>4.2375662742756504E-2</v>
      </c>
      <c r="V557" s="78">
        <v>81.744540714639243</v>
      </c>
      <c r="Y557" s="28"/>
      <c r="Z557" s="28"/>
      <c r="AK557" s="28"/>
      <c r="AS557" s="28"/>
      <c r="AT557" s="28"/>
    </row>
    <row r="558" spans="3:46" x14ac:dyDescent="0.15">
      <c r="C558" s="11">
        <v>8.0657958984375E-2</v>
      </c>
      <c r="D558" s="11">
        <v>3.5560786724090576E-2</v>
      </c>
      <c r="E558" s="11">
        <v>0.17342624236530407</v>
      </c>
      <c r="F558" s="11">
        <v>0</v>
      </c>
      <c r="G558" s="11">
        <v>2.0952939987182617E-2</v>
      </c>
      <c r="H558" s="40">
        <v>4.236022176190271E-4</v>
      </c>
      <c r="I558" s="40">
        <v>1.4935749248073804</v>
      </c>
      <c r="J558" s="59">
        <v>0</v>
      </c>
      <c r="K558" s="59">
        <v>4704.7261614352465</v>
      </c>
      <c r="L558" s="59">
        <v>0</v>
      </c>
      <c r="M558" s="11">
        <v>0.82445025444030762</v>
      </c>
      <c r="N558" s="11">
        <v>0.77547675371170044</v>
      </c>
      <c r="O558" s="11">
        <v>0.27108955383300781</v>
      </c>
      <c r="Q558" s="59">
        <v>13.342242204358699</v>
      </c>
      <c r="R558" s="78">
        <v>486.6832530443931</v>
      </c>
      <c r="S558" s="78">
        <v>13.380016849493032</v>
      </c>
      <c r="T558" s="78">
        <v>595.35270518390496</v>
      </c>
      <c r="U558" s="78">
        <v>3.7774645134332374E-2</v>
      </c>
      <c r="V558" s="78">
        <v>108.66945213951186</v>
      </c>
      <c r="Y558" s="28"/>
      <c r="Z558" s="28"/>
      <c r="AK558" s="28"/>
      <c r="AS558" s="28"/>
      <c r="AT558" s="28"/>
    </row>
    <row r="559" spans="3:46" x14ac:dyDescent="0.15">
      <c r="C559" s="11">
        <v>1.2886375188827515E-2</v>
      </c>
      <c r="D559" s="11">
        <v>2.6706278324127197E-2</v>
      </c>
      <c r="E559" s="11">
        <v>0.28579315035618386</v>
      </c>
      <c r="F559" s="11">
        <v>0</v>
      </c>
      <c r="G559" s="11">
        <v>4.2767196893692017E-2</v>
      </c>
      <c r="H559" s="40">
        <v>4.5207154689689248E-4</v>
      </c>
      <c r="I559" s="40">
        <v>1.5762747107949615</v>
      </c>
      <c r="J559" s="59">
        <v>0</v>
      </c>
      <c r="K559" s="59">
        <v>3070.2073127031326</v>
      </c>
      <c r="L559" s="59">
        <v>0</v>
      </c>
      <c r="M559" s="11">
        <v>0.77594184875488281</v>
      </c>
      <c r="N559" s="11">
        <v>0.81233835220336914</v>
      </c>
      <c r="O559" s="11">
        <v>0.32648485898971558</v>
      </c>
      <c r="Q559" s="59">
        <v>13.502635968933104</v>
      </c>
      <c r="R559" s="78">
        <v>492.53572902263409</v>
      </c>
      <c r="S559" s="78">
        <v>13.521452955545723</v>
      </c>
      <c r="T559" s="78">
        <v>607.74705624046396</v>
      </c>
      <c r="U559" s="78">
        <v>1.8816986612618436E-2</v>
      </c>
      <c r="V559" s="78">
        <v>115.21132721782988</v>
      </c>
      <c r="Y559" s="28"/>
      <c r="Z559" s="28"/>
      <c r="AK559" s="28"/>
      <c r="AS559" s="28"/>
      <c r="AT559" s="28"/>
    </row>
    <row r="560" spans="3:46" x14ac:dyDescent="0.15">
      <c r="C560" s="11">
        <v>2.3898303508758545E-2</v>
      </c>
      <c r="D560" s="11">
        <v>1.8741592764854431E-2</v>
      </c>
      <c r="E560" s="11">
        <v>0.39914074532656751</v>
      </c>
      <c r="F560" s="11">
        <v>0</v>
      </c>
      <c r="G560" s="11">
        <v>2.2410273551940918E-2</v>
      </c>
      <c r="H560" s="40">
        <v>4.8687583543338621E-4</v>
      </c>
      <c r="I560" s="40">
        <v>1.5214623337913529</v>
      </c>
      <c r="J560" s="59">
        <v>0</v>
      </c>
      <c r="K560" s="59">
        <v>2573.2815265655518</v>
      </c>
      <c r="L560" s="59">
        <v>0</v>
      </c>
      <c r="M560" s="11">
        <v>0.82782959938049316</v>
      </c>
      <c r="N560" s="11">
        <v>0.77446961402893066</v>
      </c>
      <c r="O560" s="11">
        <v>0.29408794641494751</v>
      </c>
      <c r="Q560" s="59">
        <v>14.217508908703143</v>
      </c>
      <c r="R560" s="78">
        <v>461.53791585291174</v>
      </c>
      <c r="S560" s="78">
        <v>14.250420691630911</v>
      </c>
      <c r="T560" s="78">
        <v>606.38459038272208</v>
      </c>
      <c r="U560" s="78">
        <v>3.2911782927767419E-2</v>
      </c>
      <c r="V560" s="78">
        <v>144.84667452981034</v>
      </c>
      <c r="Y560" s="28"/>
      <c r="Z560" s="28"/>
      <c r="AK560" s="28"/>
      <c r="AS560" s="28"/>
      <c r="AT560" s="28"/>
    </row>
    <row r="561" spans="3:46" x14ac:dyDescent="0.15">
      <c r="C561" s="11">
        <v>4.7308206558227539E-3</v>
      </c>
      <c r="D561" s="11">
        <v>1.797039806842804E-2</v>
      </c>
      <c r="E561" s="11">
        <v>0.49238830823199403</v>
      </c>
      <c r="F561" s="11">
        <v>0</v>
      </c>
      <c r="G561" s="11">
        <v>2.2563338279724121E-2</v>
      </c>
      <c r="H561" s="40">
        <v>5.8946868537149285E-4</v>
      </c>
      <c r="I561" s="40">
        <v>1.4731658221625255</v>
      </c>
      <c r="J561" s="59">
        <v>0</v>
      </c>
      <c r="K561" s="59">
        <v>5854.6965010464191</v>
      </c>
      <c r="L561" s="59">
        <v>0</v>
      </c>
      <c r="M561" s="11">
        <v>0.89367544651031494</v>
      </c>
      <c r="N561" s="11">
        <v>0.73689258098602295</v>
      </c>
      <c r="O561" s="11">
        <v>0.31866562366485596</v>
      </c>
      <c r="Q561" s="59">
        <v>15.606612572359253</v>
      </c>
      <c r="R561" s="78">
        <v>558.56117319442637</v>
      </c>
      <c r="S561" s="78">
        <v>15.658724637219354</v>
      </c>
      <c r="T561" s="78">
        <v>661.13428015535612</v>
      </c>
      <c r="U561" s="78">
        <v>5.211206486010056E-2</v>
      </c>
      <c r="V561" s="78">
        <v>102.57310696092975</v>
      </c>
      <c r="Y561" s="28"/>
      <c r="Z561" s="28"/>
      <c r="AK561" s="28"/>
      <c r="AS561" s="28"/>
      <c r="AT561" s="28"/>
    </row>
    <row r="562" spans="3:46" x14ac:dyDescent="0.15">
      <c r="C562" s="11">
        <v>4.2710423469543457E-2</v>
      </c>
      <c r="D562" s="11">
        <v>6.8188011646270752E-3</v>
      </c>
      <c r="E562" s="11">
        <v>0.20913254880925086</v>
      </c>
      <c r="F562" s="11">
        <v>0</v>
      </c>
      <c r="G562" s="11">
        <v>5.6915402412414551E-2</v>
      </c>
      <c r="H562" s="40">
        <v>5.6012532233925421E-4</v>
      </c>
      <c r="I562" s="40">
        <v>1.4857595108413246</v>
      </c>
      <c r="J562" s="59">
        <v>0</v>
      </c>
      <c r="K562" s="59">
        <v>6095.3199863433838</v>
      </c>
      <c r="L562" s="59">
        <v>0</v>
      </c>
      <c r="M562" s="11">
        <v>0.82616990804672241</v>
      </c>
      <c r="N562" s="11">
        <v>0.76736688613891602</v>
      </c>
      <c r="O562" s="11">
        <v>0.30421888828277588</v>
      </c>
      <c r="Q562" s="59">
        <v>13.910315151606477</v>
      </c>
      <c r="R562" s="78">
        <v>588.48166824757482</v>
      </c>
      <c r="S562" s="78">
        <v>13.957078520324341</v>
      </c>
      <c r="T562" s="78">
        <v>620.5085607030444</v>
      </c>
      <c r="U562" s="78">
        <v>4.6763368717863685E-2</v>
      </c>
      <c r="V562" s="78">
        <v>32.026892455469579</v>
      </c>
      <c r="Y562" s="28"/>
      <c r="Z562" s="28"/>
      <c r="AK562" s="28"/>
      <c r="AS562" s="28"/>
      <c r="AT562" s="28"/>
    </row>
    <row r="563" spans="3:46" x14ac:dyDescent="0.15">
      <c r="C563" s="11">
        <v>1.8493473529815674E-2</v>
      </c>
      <c r="D563" s="11">
        <v>2.9689967632293701E-3</v>
      </c>
      <c r="E563" s="11">
        <v>0.22687672098168288</v>
      </c>
      <c r="F563" s="11">
        <v>0</v>
      </c>
      <c r="G563" s="11">
        <v>2.455863356590271E-2</v>
      </c>
      <c r="H563" s="40">
        <v>4.7225527073899062E-4</v>
      </c>
      <c r="I563" s="40">
        <v>1.3861225137450537</v>
      </c>
      <c r="J563" s="59">
        <v>0</v>
      </c>
      <c r="K563" s="59">
        <v>2955.7105153799057</v>
      </c>
      <c r="L563" s="59">
        <v>0</v>
      </c>
      <c r="M563" s="11">
        <v>0.85695314407348633</v>
      </c>
      <c r="N563" s="11">
        <v>0.7184411883354187</v>
      </c>
      <c r="O563" s="11">
        <v>0.30562222003936768</v>
      </c>
      <c r="Q563" s="59">
        <v>14.801703220748722</v>
      </c>
      <c r="R563" s="78">
        <v>446.08628934415492</v>
      </c>
      <c r="S563" s="78">
        <v>14.844221441807569</v>
      </c>
      <c r="T563" s="78">
        <v>590.96320138265514</v>
      </c>
      <c r="U563" s="78">
        <v>4.2518221058847061E-2</v>
      </c>
      <c r="V563" s="78">
        <v>144.87691203850022</v>
      </c>
      <c r="Y563" s="28"/>
      <c r="Z563" s="28"/>
      <c r="AK563" s="28"/>
      <c r="AS563" s="28"/>
      <c r="AT563" s="28"/>
    </row>
    <row r="564" spans="3:46" x14ac:dyDescent="0.15">
      <c r="C564" s="11">
        <v>4.1882097721099854E-3</v>
      </c>
      <c r="D564" s="11">
        <v>2.4551093578338623E-2</v>
      </c>
      <c r="E564" s="11">
        <v>0.29997620101872258</v>
      </c>
      <c r="F564" s="11">
        <v>0</v>
      </c>
      <c r="G564" s="11">
        <v>5.8865666389465332E-2</v>
      </c>
      <c r="H564" s="40">
        <v>3.9002891407625013E-4</v>
      </c>
      <c r="I564" s="40">
        <v>1.5580535213438031</v>
      </c>
      <c r="J564" s="59">
        <v>0</v>
      </c>
      <c r="K564" s="59">
        <v>5600.1730263233185</v>
      </c>
      <c r="L564" s="59">
        <v>0</v>
      </c>
      <c r="M564" s="11">
        <v>0.77323150634765625</v>
      </c>
      <c r="N564" s="11">
        <v>0.80767393112182617</v>
      </c>
      <c r="O564" s="11">
        <v>0.28767329454421997</v>
      </c>
      <c r="Q564" s="59">
        <v>13.573626041804337</v>
      </c>
      <c r="R564" s="78">
        <v>554.68437630230437</v>
      </c>
      <c r="S564" s="78">
        <v>13.592490915858484</v>
      </c>
      <c r="T564" s="78">
        <v>627.98702608935071</v>
      </c>
      <c r="U564" s="78">
        <v>1.8864874054147052E-2</v>
      </c>
      <c r="V564" s="78">
        <v>73.302649787046334</v>
      </c>
      <c r="Y564" s="28"/>
      <c r="Z564" s="28"/>
      <c r="AK564" s="28"/>
      <c r="AS564" s="28"/>
      <c r="AT564" s="28"/>
    </row>
    <row r="565" spans="3:46" x14ac:dyDescent="0.15">
      <c r="C565" s="11">
        <v>9.3413442373275757E-3</v>
      </c>
      <c r="D565" s="11">
        <v>5.8459937572479248E-3</v>
      </c>
      <c r="E565" s="11">
        <v>0.19617352925410286</v>
      </c>
      <c r="F565" s="11">
        <v>0</v>
      </c>
      <c r="G565" s="11">
        <v>3.9267033338546753E-2</v>
      </c>
      <c r="H565" s="40">
        <v>5.2147089057787122E-4</v>
      </c>
      <c r="I565" s="40">
        <v>1.4619437827640447</v>
      </c>
      <c r="J565" s="59">
        <v>0</v>
      </c>
      <c r="K565" s="59">
        <v>4155.5240750312805</v>
      </c>
      <c r="L565" s="59">
        <v>0</v>
      </c>
      <c r="M565" s="11">
        <v>0.86510437726974487</v>
      </c>
      <c r="N565" s="11">
        <v>0.76270675659179688</v>
      </c>
      <c r="O565" s="11">
        <v>0.3044925332069397</v>
      </c>
      <c r="Q565" s="59">
        <v>15.070334183069011</v>
      </c>
      <c r="R565" s="78">
        <v>503.75150500112596</v>
      </c>
      <c r="S565" s="78">
        <v>15.124518074167961</v>
      </c>
      <c r="T565" s="78">
        <v>600.92214175409765</v>
      </c>
      <c r="U565" s="78">
        <v>5.4183891098949388E-2</v>
      </c>
      <c r="V565" s="78">
        <v>97.170636752971689</v>
      </c>
      <c r="Y565" s="28"/>
      <c r="Z565" s="28"/>
      <c r="AK565" s="28"/>
      <c r="AS565" s="28"/>
      <c r="AT565" s="28"/>
    </row>
    <row r="566" spans="3:46" x14ac:dyDescent="0.15">
      <c r="C566" s="11">
        <v>2.4694621562957764E-2</v>
      </c>
      <c r="D566" s="11">
        <v>9.7932964563369751E-3</v>
      </c>
      <c r="E566" s="11">
        <v>0.36346274868761463</v>
      </c>
      <c r="F566" s="11">
        <v>0</v>
      </c>
      <c r="G566" s="11">
        <v>1.5497982501983643E-2</v>
      </c>
      <c r="H566" s="40">
        <v>5.4413966416973821E-4</v>
      </c>
      <c r="I566" s="40">
        <v>1.4378225131633726</v>
      </c>
      <c r="J566" s="59">
        <v>0</v>
      </c>
      <c r="K566" s="59">
        <v>4244.7727173566818</v>
      </c>
      <c r="L566" s="59">
        <v>0</v>
      </c>
      <c r="M566" s="11">
        <v>0.81183004379272461</v>
      </c>
      <c r="N566" s="11">
        <v>0.71321761608123779</v>
      </c>
      <c r="O566" s="11">
        <v>0.25389003753662109</v>
      </c>
      <c r="Q566" s="59">
        <v>13.925179533729528</v>
      </c>
      <c r="R566" s="78">
        <v>487.77160425967264</v>
      </c>
      <c r="S566" s="78">
        <v>13.96334961295954</v>
      </c>
      <c r="T566" s="78">
        <v>613.5648075809105</v>
      </c>
      <c r="U566" s="78">
        <v>3.8170079230011922E-2</v>
      </c>
      <c r="V566" s="78">
        <v>125.79320332123785</v>
      </c>
      <c r="Y566" s="28"/>
      <c r="Z566" s="28"/>
      <c r="AK566" s="28"/>
      <c r="AS566" s="28"/>
      <c r="AT566" s="28"/>
    </row>
    <row r="567" spans="3:46" x14ac:dyDescent="0.15">
      <c r="C567" s="11">
        <v>3.638148307800293E-2</v>
      </c>
      <c r="D567" s="11">
        <v>1.2866511940956116E-2</v>
      </c>
      <c r="E567" s="11">
        <v>0.25514778303866453</v>
      </c>
      <c r="F567" s="11">
        <v>0</v>
      </c>
      <c r="G567" s="11">
        <v>3.8138270378112793E-2</v>
      </c>
      <c r="H567" s="40">
        <v>5.9141841405645538E-4</v>
      </c>
      <c r="I567" s="40">
        <v>1.4202907459859864</v>
      </c>
      <c r="J567" s="59">
        <v>0</v>
      </c>
      <c r="K567" s="59">
        <v>5651.0558351874352</v>
      </c>
      <c r="L567" s="59">
        <v>0</v>
      </c>
      <c r="M567" s="11">
        <v>0.85537159442901611</v>
      </c>
      <c r="N567" s="11">
        <v>0.79817450046539307</v>
      </c>
      <c r="O567" s="11">
        <v>0.30120295286178589</v>
      </c>
      <c r="Q567" s="59">
        <v>14.506801370090148</v>
      </c>
      <c r="R567" s="78">
        <v>538.65866260160396</v>
      </c>
      <c r="S567" s="78">
        <v>14.545593605453652</v>
      </c>
      <c r="T567" s="78">
        <v>616.51975034096984</v>
      </c>
      <c r="U567" s="78">
        <v>3.8792235363503735E-2</v>
      </c>
      <c r="V567" s="78">
        <v>77.861087739365871</v>
      </c>
      <c r="Y567" s="28"/>
      <c r="Z567" s="28"/>
      <c r="AK567" s="28"/>
      <c r="AS567" s="28"/>
      <c r="AT567" s="28"/>
    </row>
    <row r="568" spans="3:46" x14ac:dyDescent="0.15">
      <c r="C568" s="11">
        <v>7.8989416360855103E-3</v>
      </c>
      <c r="D568" s="11">
        <v>4.9525856971740723E-2</v>
      </c>
      <c r="E568" s="11">
        <v>0.15152429850302065</v>
      </c>
      <c r="F568" s="11">
        <v>0</v>
      </c>
      <c r="G568" s="11">
        <v>6.3113093376159668E-2</v>
      </c>
      <c r="H568" s="40">
        <v>3.6941537520981379E-4</v>
      </c>
      <c r="I568" s="40">
        <v>1.5577351783549016</v>
      </c>
      <c r="J568" s="59">
        <v>0</v>
      </c>
      <c r="K568" s="59">
        <v>3412.8734841942787</v>
      </c>
      <c r="L568" s="59">
        <v>0</v>
      </c>
      <c r="M568" s="11">
        <v>0.82722252607345581</v>
      </c>
      <c r="N568" s="11">
        <v>0.71318614482879639</v>
      </c>
      <c r="O568" s="11">
        <v>0.30578798055648804</v>
      </c>
      <c r="Q568" s="59">
        <v>14.411618892939341</v>
      </c>
      <c r="R568" s="78">
        <v>487.19217134616576</v>
      </c>
      <c r="S568" s="78">
        <v>14.483183084145919</v>
      </c>
      <c r="T568" s="78">
        <v>593.3853413951424</v>
      </c>
      <c r="U568" s="78">
        <v>7.1564191206578087E-2</v>
      </c>
      <c r="V568" s="78">
        <v>106.19317004897664</v>
      </c>
      <c r="Y568" s="28"/>
      <c r="Z568" s="28"/>
      <c r="AK568" s="28"/>
      <c r="AS568" s="28"/>
      <c r="AT568" s="28"/>
    </row>
    <row r="569" spans="3:46" x14ac:dyDescent="0.15">
      <c r="C569" s="11">
        <v>2.1048963069915771E-2</v>
      </c>
      <c r="D569" s="11">
        <v>3.0582010746002197E-2</v>
      </c>
      <c r="E569" s="11">
        <v>0.3720749606211512</v>
      </c>
      <c r="F569" s="11">
        <v>0</v>
      </c>
      <c r="G569" s="11">
        <v>5.0988972187042236E-2</v>
      </c>
      <c r="H569" s="40">
        <v>5.2125629778183933E-4</v>
      </c>
      <c r="I569" s="40">
        <v>1.4340629341067874</v>
      </c>
      <c r="J569" s="59">
        <v>0</v>
      </c>
      <c r="K569" s="59">
        <v>3598.4022542834282</v>
      </c>
      <c r="L569" s="59">
        <v>0</v>
      </c>
      <c r="M569" s="11">
        <v>0.8328813910484314</v>
      </c>
      <c r="N569" s="11">
        <v>0.80472159385681152</v>
      </c>
      <c r="O569" s="11">
        <v>0.29228395223617554</v>
      </c>
      <c r="Q569" s="59">
        <v>14.35418683489619</v>
      </c>
      <c r="R569" s="78">
        <v>485.14176087184597</v>
      </c>
      <c r="S569" s="78">
        <v>14.383935947743826</v>
      </c>
      <c r="T569" s="78">
        <v>613.34333430422578</v>
      </c>
      <c r="U569" s="78">
        <v>2.9749112847635928E-2</v>
      </c>
      <c r="V569" s="78">
        <v>128.2015734323798</v>
      </c>
      <c r="Y569" s="28"/>
      <c r="Z569" s="28"/>
      <c r="AK569" s="28"/>
      <c r="AS569" s="28"/>
      <c r="AT569" s="28"/>
    </row>
    <row r="570" spans="3:46" x14ac:dyDescent="0.15">
      <c r="C570" s="11">
        <v>4.9028635025024414E-2</v>
      </c>
      <c r="D570" s="11">
        <v>5.4512500762939453E-2</v>
      </c>
      <c r="E570" s="11">
        <v>0.12293266630427903</v>
      </c>
      <c r="F570" s="11">
        <v>0</v>
      </c>
      <c r="G570" s="11">
        <v>2.4224609136581421E-2</v>
      </c>
      <c r="H570" s="40">
        <v>6.5947878387948402E-4</v>
      </c>
      <c r="I570" s="40">
        <v>1.2699378213759389</v>
      </c>
      <c r="J570" s="59">
        <v>0</v>
      </c>
      <c r="K570" s="59">
        <v>4783.7500460445881</v>
      </c>
      <c r="L570" s="59">
        <v>0</v>
      </c>
      <c r="M570" s="11">
        <v>0.80847775936126709</v>
      </c>
      <c r="N570" s="11">
        <v>0.73357474803924561</v>
      </c>
      <c r="O570" s="11">
        <v>0.32846951484680176</v>
      </c>
      <c r="Q570" s="59">
        <v>13.534355772648793</v>
      </c>
      <c r="R570" s="78">
        <v>474.28213917728789</v>
      </c>
      <c r="S570" s="78">
        <v>13.574700995967948</v>
      </c>
      <c r="T570" s="78">
        <v>588.99873691239338</v>
      </c>
      <c r="U570" s="78">
        <v>4.0345223319155465E-2</v>
      </c>
      <c r="V570" s="78">
        <v>114.71659773510549</v>
      </c>
      <c r="Y570" s="28"/>
      <c r="Z570" s="28"/>
      <c r="AK570" s="28"/>
      <c r="AS570" s="28"/>
      <c r="AT570" s="28"/>
    </row>
    <row r="571" spans="3:46" x14ac:dyDescent="0.15">
      <c r="C571" s="11">
        <v>2.000117301940918E-2</v>
      </c>
      <c r="D571" s="11">
        <v>1.6093015670776367E-2</v>
      </c>
      <c r="E571" s="11">
        <v>0.38439946534619512</v>
      </c>
      <c r="F571" s="11">
        <v>0</v>
      </c>
      <c r="G571" s="11">
        <v>2.2482782602310181E-2</v>
      </c>
      <c r="H571" s="40">
        <v>4.920008539348069E-4</v>
      </c>
      <c r="I571" s="40">
        <v>1.4356554188818333</v>
      </c>
      <c r="J571" s="59">
        <v>0</v>
      </c>
      <c r="K571" s="59">
        <v>3089.2295762896538</v>
      </c>
      <c r="L571" s="59">
        <v>0</v>
      </c>
      <c r="M571" s="11">
        <v>0.8610629141330719</v>
      </c>
      <c r="N571" s="11">
        <v>0.75831753015518188</v>
      </c>
      <c r="O571" s="11">
        <v>0.28312203288078308</v>
      </c>
      <c r="Q571" s="59">
        <v>14.845321452267289</v>
      </c>
      <c r="R571" s="78">
        <v>458.33943443449874</v>
      </c>
      <c r="S571" s="78">
        <v>14.881887271116787</v>
      </c>
      <c r="T571" s="78">
        <v>604.03328818695775</v>
      </c>
      <c r="U571" s="78">
        <v>3.6565818849497944E-2</v>
      </c>
      <c r="V571" s="78">
        <v>145.69385375245901</v>
      </c>
      <c r="Y571" s="28"/>
      <c r="Z571" s="28"/>
      <c r="AK571" s="28"/>
      <c r="AS571" s="28"/>
      <c r="AT571" s="28"/>
    </row>
    <row r="572" spans="3:46" x14ac:dyDescent="0.15">
      <c r="C572" s="11">
        <v>2.2469580173492432E-2</v>
      </c>
      <c r="D572" s="11">
        <v>3.3838331699371338E-2</v>
      </c>
      <c r="E572" s="11">
        <v>0.13038359472071748</v>
      </c>
      <c r="F572" s="11">
        <v>0</v>
      </c>
      <c r="G572" s="11">
        <v>6.1964988708496094E-3</v>
      </c>
      <c r="H572" s="40">
        <v>7.4959032509158328E-4</v>
      </c>
      <c r="I572" s="40">
        <v>1.4959463744569916</v>
      </c>
      <c r="J572" s="59">
        <v>0</v>
      </c>
      <c r="K572" s="59">
        <v>4671.7515215277672</v>
      </c>
      <c r="L572" s="59">
        <v>0</v>
      </c>
      <c r="M572" s="11">
        <v>0.78795385360717773</v>
      </c>
      <c r="N572" s="11">
        <v>0.73615127801895142</v>
      </c>
      <c r="O572" s="11">
        <v>0.25357508659362793</v>
      </c>
      <c r="Q572" s="59">
        <v>13.526782509654227</v>
      </c>
      <c r="R572" s="78">
        <v>550.86036386105866</v>
      </c>
      <c r="S572" s="78">
        <v>13.594708197403502</v>
      </c>
      <c r="T572" s="78">
        <v>600.13134003950165</v>
      </c>
      <c r="U572" s="78">
        <v>6.7925687749275099E-2</v>
      </c>
      <c r="V572" s="78">
        <v>49.270976178442993</v>
      </c>
      <c r="Y572" s="28"/>
      <c r="Z572" s="28"/>
      <c r="AK572" s="28"/>
      <c r="AS572" s="28"/>
      <c r="AT572" s="28"/>
    </row>
    <row r="573" spans="3:46" x14ac:dyDescent="0.15">
      <c r="C573" s="11">
        <v>5.7982653379440308E-3</v>
      </c>
      <c r="D573" s="11">
        <v>5.0371050834655762E-2</v>
      </c>
      <c r="E573" s="11">
        <v>0.38522089484554822</v>
      </c>
      <c r="F573" s="11">
        <v>0</v>
      </c>
      <c r="G573" s="11">
        <v>2.4883627891540527E-2</v>
      </c>
      <c r="H573" s="40">
        <v>3.3542367332318421E-4</v>
      </c>
      <c r="I573" s="40">
        <v>1.5351356374706155</v>
      </c>
      <c r="J573" s="59">
        <v>0</v>
      </c>
      <c r="K573" s="59">
        <v>4690.6503848731518</v>
      </c>
      <c r="L573" s="59">
        <v>0</v>
      </c>
      <c r="M573" s="11">
        <v>0.83419156074523926</v>
      </c>
      <c r="N573" s="11">
        <v>0.7541053295135498</v>
      </c>
      <c r="O573" s="11">
        <v>0.27542573213577271</v>
      </c>
      <c r="Q573" s="59">
        <v>14.59098884215498</v>
      </c>
      <c r="R573" s="78">
        <v>485.38132719871783</v>
      </c>
      <c r="S573" s="78">
        <v>14.626575904601491</v>
      </c>
      <c r="T573" s="78">
        <v>614.61522341351315</v>
      </c>
      <c r="U573" s="78">
        <v>3.5587062446511553E-2</v>
      </c>
      <c r="V573" s="78">
        <v>129.23389621479532</v>
      </c>
      <c r="Y573" s="28"/>
      <c r="Z573" s="28"/>
      <c r="AK573" s="28"/>
      <c r="AS573" s="28"/>
      <c r="AT573" s="28"/>
    </row>
    <row r="574" spans="3:46" x14ac:dyDescent="0.15">
      <c r="C574" s="11">
        <v>9.44976806640625E-2</v>
      </c>
      <c r="D574" s="11">
        <v>9.8386555910110474E-3</v>
      </c>
      <c r="E574" s="11">
        <v>0.29546216546512499</v>
      </c>
      <c r="F574" s="11">
        <v>0</v>
      </c>
      <c r="G574" s="11">
        <v>4.5501768589019775E-2</v>
      </c>
      <c r="H574" s="40">
        <v>5.4715067537383405E-4</v>
      </c>
      <c r="I574" s="40">
        <v>1.5431438507127884</v>
      </c>
      <c r="J574" s="59">
        <v>0</v>
      </c>
      <c r="K574" s="59">
        <v>4364.8411519825459</v>
      </c>
      <c r="L574" s="59">
        <v>0</v>
      </c>
      <c r="M574" s="11">
        <v>0.82088267803192139</v>
      </c>
      <c r="N574" s="11">
        <v>0.79557740688323975</v>
      </c>
      <c r="O574" s="11">
        <v>0.27521210908889771</v>
      </c>
      <c r="Q574" s="59">
        <v>13.077794594461974</v>
      </c>
      <c r="R574" s="78">
        <v>537.37802473887666</v>
      </c>
      <c r="S574" s="78">
        <v>13.113823140174919</v>
      </c>
      <c r="T574" s="78">
        <v>622.29574076848701</v>
      </c>
      <c r="U574" s="78">
        <v>3.6028545712945004E-2</v>
      </c>
      <c r="V574" s="78">
        <v>84.917716029610347</v>
      </c>
      <c r="Y574" s="28"/>
      <c r="Z574" s="28"/>
      <c r="AK574" s="28"/>
      <c r="AS574" s="28"/>
      <c r="AT574" s="28"/>
    </row>
    <row r="575" spans="3:46" x14ac:dyDescent="0.15">
      <c r="C575" s="11">
        <v>5.5938720703125E-2</v>
      </c>
      <c r="D575" s="11">
        <v>1.7929390072822571E-2</v>
      </c>
      <c r="E575" s="11">
        <v>0.21057877514723439</v>
      </c>
      <c r="F575" s="11">
        <v>0</v>
      </c>
      <c r="G575" s="11">
        <v>3.8448512554168701E-2</v>
      </c>
      <c r="H575" s="40">
        <v>5.232858213330097E-4</v>
      </c>
      <c r="I575" s="40">
        <v>1.4014586257328727</v>
      </c>
      <c r="J575" s="59">
        <v>0</v>
      </c>
      <c r="K575" s="59">
        <v>6083.3455063402653</v>
      </c>
      <c r="L575" s="59">
        <v>0</v>
      </c>
      <c r="M575" s="11">
        <v>0.79350852966308594</v>
      </c>
      <c r="N575" s="11">
        <v>0.75687533617019653</v>
      </c>
      <c r="O575" s="11">
        <v>0.2863694429397583</v>
      </c>
      <c r="Q575" s="59">
        <v>13.195545588353648</v>
      </c>
      <c r="R575" s="78">
        <v>522.25701541078035</v>
      </c>
      <c r="S575" s="78">
        <v>13.224307576739266</v>
      </c>
      <c r="T575" s="78">
        <v>606.40097388658546</v>
      </c>
      <c r="U575" s="78">
        <v>2.8761988385618054E-2</v>
      </c>
      <c r="V575" s="78">
        <v>84.143958475805107</v>
      </c>
      <c r="Y575" s="28"/>
      <c r="Z575" s="28"/>
      <c r="AK575" s="28"/>
      <c r="AS575" s="28"/>
      <c r="AT575" s="28"/>
    </row>
    <row r="576" spans="3:46" x14ac:dyDescent="0.15">
      <c r="C576" s="11">
        <v>2.8955698013305664E-2</v>
      </c>
      <c r="D576" s="11">
        <v>2.157178521156311E-2</v>
      </c>
      <c r="E576" s="11">
        <v>0.14251410358081168</v>
      </c>
      <c r="F576" s="11">
        <v>0</v>
      </c>
      <c r="G576" s="11">
        <v>4.6944975852966309E-2</v>
      </c>
      <c r="H576" s="40">
        <v>3.994550449725996E-4</v>
      </c>
      <c r="I576" s="40">
        <v>1.4044841127593335</v>
      </c>
      <c r="J576" s="59">
        <v>0</v>
      </c>
      <c r="K576" s="59">
        <v>4721.9474799931049</v>
      </c>
      <c r="L576" s="59">
        <v>0</v>
      </c>
      <c r="M576" s="11">
        <v>0.84222120046615601</v>
      </c>
      <c r="N576" s="11">
        <v>0.7625887393951416</v>
      </c>
      <c r="O576" s="11">
        <v>0.30435937643051147</v>
      </c>
      <c r="Q576" s="59">
        <v>14.40405506931282</v>
      </c>
      <c r="R576" s="78">
        <v>476.54877473924944</v>
      </c>
      <c r="S576" s="78">
        <v>14.439831452608948</v>
      </c>
      <c r="T576" s="78">
        <v>590.90685111401137</v>
      </c>
      <c r="U576" s="78">
        <v>3.5776383296127534E-2</v>
      </c>
      <c r="V576" s="78">
        <v>114.35807637476194</v>
      </c>
      <c r="Y576" s="28"/>
      <c r="Z576" s="28"/>
      <c r="AK576" s="28"/>
      <c r="AS576" s="28"/>
      <c r="AT576" s="28"/>
    </row>
    <row r="577" spans="3:46" x14ac:dyDescent="0.15">
      <c r="C577" s="11">
        <v>2.4223446846008301E-2</v>
      </c>
      <c r="D577" s="11">
        <v>1.2883171439170837E-2</v>
      </c>
      <c r="E577" s="11">
        <v>0.25538509516089497</v>
      </c>
      <c r="F577" s="11">
        <v>0</v>
      </c>
      <c r="G577" s="11">
        <v>4.2090833187103271E-2</v>
      </c>
      <c r="H577" s="40">
        <v>4.3218947465034386E-4</v>
      </c>
      <c r="I577" s="40">
        <v>1.4692642115711545</v>
      </c>
      <c r="J577" s="59">
        <v>0</v>
      </c>
      <c r="K577" s="59">
        <v>6412.5284552574158</v>
      </c>
      <c r="L577" s="59">
        <v>0</v>
      </c>
      <c r="M577" s="11">
        <v>0.83140397071838379</v>
      </c>
      <c r="N577" s="11">
        <v>0.75769776105880737</v>
      </c>
      <c r="O577" s="11">
        <v>0.31013792753219604</v>
      </c>
      <c r="Q577" s="59">
        <v>14.280762171640017</v>
      </c>
      <c r="R577" s="78">
        <v>537.50746790650976</v>
      </c>
      <c r="S577" s="78">
        <v>14.317088984590997</v>
      </c>
      <c r="T577" s="78">
        <v>616.17343490742542</v>
      </c>
      <c r="U577" s="78">
        <v>3.632681295098017E-2</v>
      </c>
      <c r="V577" s="78">
        <v>78.665967000915657</v>
      </c>
      <c r="Y577" s="28"/>
      <c r="Z577" s="28"/>
      <c r="AK577" s="28"/>
      <c r="AS577" s="28"/>
      <c r="AT577" s="28"/>
    </row>
    <row r="578" spans="3:46" x14ac:dyDescent="0.15">
      <c r="C578" s="11">
        <v>1.0010406374931335E-2</v>
      </c>
      <c r="D578" s="11">
        <v>2.978438138961792E-2</v>
      </c>
      <c r="E578" s="11">
        <v>0.13832144850988784</v>
      </c>
      <c r="F578" s="11">
        <v>0</v>
      </c>
      <c r="G578" s="11">
        <v>0.10062503814697266</v>
      </c>
      <c r="H578" s="40">
        <v>4.8890448058716953E-4</v>
      </c>
      <c r="I578" s="40">
        <v>1.4686996807180539</v>
      </c>
      <c r="J578" s="59">
        <v>0</v>
      </c>
      <c r="K578" s="59">
        <v>3304.7422766685486</v>
      </c>
      <c r="L578" s="59">
        <v>0</v>
      </c>
      <c r="M578" s="11">
        <v>0.88227367401123047</v>
      </c>
      <c r="N578" s="11">
        <v>0.68234515190124512</v>
      </c>
      <c r="O578" s="11">
        <v>0.31720823049545288</v>
      </c>
      <c r="Q578" s="59">
        <v>15.313481986346588</v>
      </c>
      <c r="R578" s="78">
        <v>500.96138432611798</v>
      </c>
      <c r="S578" s="78">
        <v>15.411919647159584</v>
      </c>
      <c r="T578" s="78">
        <v>594.06098378173249</v>
      </c>
      <c r="U578" s="78">
        <v>9.8437660812995986E-2</v>
      </c>
      <c r="V578" s="78">
        <v>93.099599455614509</v>
      </c>
      <c r="Y578" s="28"/>
      <c r="Z578" s="28"/>
      <c r="AK578" s="28"/>
      <c r="AS578" s="28"/>
      <c r="AT578" s="28"/>
    </row>
    <row r="579" spans="3:46" x14ac:dyDescent="0.15">
      <c r="C579" s="11">
        <v>1.2524992227554321E-2</v>
      </c>
      <c r="D579" s="11">
        <v>9.8118036985397339E-3</v>
      </c>
      <c r="E579" s="11">
        <v>0.38827099700162676</v>
      </c>
      <c r="F579" s="11">
        <v>0</v>
      </c>
      <c r="G579" s="11">
        <v>1.618194580078125E-2</v>
      </c>
      <c r="H579" s="40">
        <v>3.6287704852477291E-4</v>
      </c>
      <c r="I579" s="40">
        <v>1.51340743129875</v>
      </c>
      <c r="J579" s="59">
        <v>0</v>
      </c>
      <c r="K579" s="59">
        <v>4944.1633746027946</v>
      </c>
      <c r="L579" s="59">
        <v>0</v>
      </c>
      <c r="M579" s="11">
        <v>0.84039038419723511</v>
      </c>
      <c r="N579" s="11">
        <v>0.78961020708084106</v>
      </c>
      <c r="O579" s="11">
        <v>0.27987033128738403</v>
      </c>
      <c r="Q579" s="59">
        <v>14.620354260794107</v>
      </c>
      <c r="R579" s="78">
        <v>486.86335366500987</v>
      </c>
      <c r="S579" s="78">
        <v>14.643402904733941</v>
      </c>
      <c r="T579" s="78">
        <v>615.48220883164379</v>
      </c>
      <c r="U579" s="78">
        <v>2.3048643939834079E-2</v>
      </c>
      <c r="V579" s="78">
        <v>128.61885516663392</v>
      </c>
      <c r="Y579" s="28"/>
      <c r="Z579" s="28"/>
      <c r="AK579" s="28"/>
      <c r="AS579" s="28"/>
      <c r="AT579" s="28"/>
    </row>
    <row r="580" spans="3:46" x14ac:dyDescent="0.15">
      <c r="C580" s="11">
        <v>3.4976303577423096E-2</v>
      </c>
      <c r="D580" s="11">
        <v>5.6981593370437622E-3</v>
      </c>
      <c r="E580" s="11">
        <v>0.22041897494957408</v>
      </c>
      <c r="F580" s="11">
        <v>0</v>
      </c>
      <c r="G580" s="11">
        <v>4.8664838075637817E-2</v>
      </c>
      <c r="H580" s="40">
        <v>5.5686535765496774E-4</v>
      </c>
      <c r="I580" s="40">
        <v>1.4383266811501494</v>
      </c>
      <c r="J580" s="59">
        <v>0</v>
      </c>
      <c r="K580" s="59">
        <v>3486.59697920084</v>
      </c>
      <c r="L580" s="59">
        <v>0</v>
      </c>
      <c r="M580" s="11">
        <v>0.82540643215179443</v>
      </c>
      <c r="N580" s="11">
        <v>0.73844069242477417</v>
      </c>
      <c r="O580" s="11">
        <v>0.31154894828796387</v>
      </c>
      <c r="Q580" s="59">
        <v>14.010458303203155</v>
      </c>
      <c r="R580" s="78">
        <v>487.7526959019271</v>
      </c>
      <c r="S580" s="78">
        <v>14.056367883214341</v>
      </c>
      <c r="T580" s="78">
        <v>600.02017511714291</v>
      </c>
      <c r="U580" s="78">
        <v>4.5909580011185724E-2</v>
      </c>
      <c r="V580" s="78">
        <v>112.26747921521581</v>
      </c>
      <c r="Y580" s="28"/>
      <c r="Z580" s="28"/>
      <c r="AK580" s="28"/>
      <c r="AS580" s="28"/>
      <c r="AT580" s="28"/>
    </row>
    <row r="581" spans="3:46" x14ac:dyDescent="0.15">
      <c r="C581" s="11">
        <v>3.4467965364456177E-2</v>
      </c>
      <c r="D581" s="11">
        <v>7.7503025531768799E-3</v>
      </c>
      <c r="E581" s="11">
        <v>0.36562345771055038</v>
      </c>
      <c r="F581" s="11">
        <v>0</v>
      </c>
      <c r="G581" s="11">
        <v>6.2975406646728516E-2</v>
      </c>
      <c r="H581" s="40">
        <v>4.3911848170600452E-4</v>
      </c>
      <c r="I581" s="40">
        <v>1.5686708971757473</v>
      </c>
      <c r="J581" s="59">
        <v>0</v>
      </c>
      <c r="K581" s="59">
        <v>5496.4260198175907</v>
      </c>
      <c r="L581" s="59">
        <v>0</v>
      </c>
      <c r="M581" s="11">
        <v>0.79855740070343018</v>
      </c>
      <c r="N581" s="11">
        <v>0.78114986419677734</v>
      </c>
      <c r="O581" s="11">
        <v>0.25604236125946045</v>
      </c>
      <c r="Q581" s="59">
        <v>13.571740919374626</v>
      </c>
      <c r="R581" s="78">
        <v>575.32663346472634</v>
      </c>
      <c r="S581" s="78">
        <v>13.601464538033721</v>
      </c>
      <c r="T581" s="78">
        <v>646.43318807113667</v>
      </c>
      <c r="U581" s="78">
        <v>2.9723618659094342E-2</v>
      </c>
      <c r="V581" s="78">
        <v>71.106554606410327</v>
      </c>
      <c r="Y581" s="28"/>
      <c r="Z581" s="28"/>
      <c r="AK581" s="28"/>
      <c r="AS581" s="28"/>
      <c r="AT581" s="28"/>
    </row>
    <row r="582" spans="3:46" x14ac:dyDescent="0.15">
      <c r="C582" s="11">
        <v>2.1407008171081543E-3</v>
      </c>
      <c r="D582" s="11">
        <v>2.7682185173034668E-3</v>
      </c>
      <c r="E582" s="11">
        <v>0.30846076209149137</v>
      </c>
      <c r="F582" s="11">
        <v>0</v>
      </c>
      <c r="G582" s="11">
        <v>4.9139082431793213E-2</v>
      </c>
      <c r="H582" s="40">
        <v>4.8682913608431378E-4</v>
      </c>
      <c r="I582" s="40">
        <v>1.3704650222318202</v>
      </c>
      <c r="J582" s="59">
        <v>0</v>
      </c>
      <c r="K582" s="59">
        <v>3677.2992461919785</v>
      </c>
      <c r="L582" s="59">
        <v>0</v>
      </c>
      <c r="M582" s="11">
        <v>0.84922778606414795</v>
      </c>
      <c r="N582" s="11">
        <v>0.78507810831069946</v>
      </c>
      <c r="O582" s="11">
        <v>0.30093270540237427</v>
      </c>
      <c r="Q582" s="59">
        <v>14.929490215120135</v>
      </c>
      <c r="R582" s="78">
        <v>468.04900132709912</v>
      </c>
      <c r="S582" s="78">
        <v>14.956170160926055</v>
      </c>
      <c r="T582" s="78">
        <v>602.08140924819077</v>
      </c>
      <c r="U582" s="78">
        <v>2.6679945805920369E-2</v>
      </c>
      <c r="V582" s="78">
        <v>134.03240792109165</v>
      </c>
      <c r="Y582" s="28"/>
      <c r="Z582" s="28"/>
      <c r="AK582" s="28"/>
      <c r="AS582" s="28"/>
      <c r="AT582" s="28"/>
    </row>
    <row r="583" spans="3:46" x14ac:dyDescent="0.15">
      <c r="C583" s="11">
        <v>1.1110410094261169E-2</v>
      </c>
      <c r="D583" s="11">
        <v>2.512812614440918E-3</v>
      </c>
      <c r="E583" s="11">
        <v>0.22562040052246568</v>
      </c>
      <c r="F583" s="11">
        <v>0</v>
      </c>
      <c r="G583" s="11">
        <v>2.5050431489944458E-2</v>
      </c>
      <c r="H583" s="40">
        <v>3.7915162301787832E-4</v>
      </c>
      <c r="I583" s="40">
        <v>1.4294354790800634</v>
      </c>
      <c r="J583" s="59">
        <v>0</v>
      </c>
      <c r="K583" s="59">
        <v>3653.4061655402184</v>
      </c>
      <c r="L583" s="59">
        <v>0</v>
      </c>
      <c r="M583" s="11">
        <v>0.91399860382080078</v>
      </c>
      <c r="N583" s="11">
        <v>0.79564666748046875</v>
      </c>
      <c r="O583" s="11">
        <v>0.32218438386917114</v>
      </c>
      <c r="Q583" s="59">
        <v>15.917663857356668</v>
      </c>
      <c r="R583" s="78">
        <v>453.38875536743507</v>
      </c>
      <c r="S583" s="78">
        <v>15.95426527222928</v>
      </c>
      <c r="T583" s="78">
        <v>592.55416028730201</v>
      </c>
      <c r="U583" s="78">
        <v>3.6601414872611926E-2</v>
      </c>
      <c r="V583" s="78">
        <v>139.16540491986694</v>
      </c>
      <c r="Y583" s="28"/>
      <c r="Z583" s="28"/>
      <c r="AK583" s="28"/>
      <c r="AS583" s="28"/>
      <c r="AT583" s="28"/>
    </row>
    <row r="584" spans="3:46" x14ac:dyDescent="0.15">
      <c r="C584" s="11">
        <v>1.5571996569633484E-2</v>
      </c>
      <c r="D584" s="11">
        <v>5.5078744888305664E-2</v>
      </c>
      <c r="E584" s="11">
        <v>0.24104589971158463</v>
      </c>
      <c r="F584" s="11">
        <v>0</v>
      </c>
      <c r="G584" s="11">
        <v>2.1192818880081177E-2</v>
      </c>
      <c r="H584" s="40">
        <v>4.9782602321280986E-4</v>
      </c>
      <c r="I584" s="40">
        <v>1.3820172473062882</v>
      </c>
      <c r="J584" s="59">
        <v>0</v>
      </c>
      <c r="K584" s="59">
        <v>4283.504094928503</v>
      </c>
      <c r="L584" s="59">
        <v>0</v>
      </c>
      <c r="M584" s="11">
        <v>0.82523345947265625</v>
      </c>
      <c r="N584" s="11">
        <v>0.76989692449569702</v>
      </c>
      <c r="O584" s="11">
        <v>0.29526203870773315</v>
      </c>
      <c r="Q584" s="59">
        <v>14.302511447396116</v>
      </c>
      <c r="R584" s="78">
        <v>470.63587337404584</v>
      </c>
      <c r="S584" s="78">
        <v>14.338076020783769</v>
      </c>
      <c r="T584" s="78">
        <v>597.7068440292669</v>
      </c>
      <c r="U584" s="78">
        <v>3.5564573387652842E-2</v>
      </c>
      <c r="V584" s="78">
        <v>127.07097065522106</v>
      </c>
      <c r="Y584" s="28"/>
      <c r="Z584" s="28"/>
      <c r="AK584" s="28"/>
      <c r="AS584" s="28"/>
      <c r="AT584" s="28"/>
    </row>
    <row r="585" spans="3:46" x14ac:dyDescent="0.15">
      <c r="C585" s="11">
        <v>2.2061765193939209E-2</v>
      </c>
      <c r="D585" s="11">
        <v>1.9980162382125854E-2</v>
      </c>
      <c r="E585" s="11">
        <v>0.25364244314118334</v>
      </c>
      <c r="F585" s="11">
        <v>0</v>
      </c>
      <c r="G585" s="11">
        <v>1.9853740930557251E-2</v>
      </c>
      <c r="H585" s="40">
        <v>4.8296454682610437E-4</v>
      </c>
      <c r="I585" s="40">
        <v>1.5108566993633201</v>
      </c>
      <c r="J585" s="59">
        <v>0</v>
      </c>
      <c r="K585" s="59">
        <v>5644.9137628078461</v>
      </c>
      <c r="L585" s="59">
        <v>0</v>
      </c>
      <c r="M585" s="11">
        <v>0.83884614706039429</v>
      </c>
      <c r="N585" s="11">
        <v>0.79106950759887695</v>
      </c>
      <c r="O585" s="11">
        <v>0.31241929531097412</v>
      </c>
      <c r="Q585" s="59">
        <v>14.439129080476736</v>
      </c>
      <c r="R585" s="78">
        <v>534.7356163994682</v>
      </c>
      <c r="S585" s="78">
        <v>14.476903991031293</v>
      </c>
      <c r="T585" s="78">
        <v>615.37323833465689</v>
      </c>
      <c r="U585" s="78">
        <v>3.777491055455684E-2</v>
      </c>
      <c r="V585" s="78">
        <v>80.63762193518869</v>
      </c>
      <c r="Y585" s="28"/>
      <c r="Z585" s="28"/>
      <c r="AK585" s="28"/>
      <c r="AS585" s="28"/>
      <c r="AT585" s="28"/>
    </row>
    <row r="586" spans="3:46" x14ac:dyDescent="0.15">
      <c r="C586" s="11">
        <v>3.4289062023162842E-3</v>
      </c>
      <c r="D586" s="11">
        <v>1.1102795600891113E-2</v>
      </c>
      <c r="E586" s="11">
        <v>0.33244563978232289</v>
      </c>
      <c r="F586" s="11">
        <v>0</v>
      </c>
      <c r="G586" s="11">
        <v>4.0624916553497314E-2</v>
      </c>
      <c r="H586" s="40">
        <v>6.4890376960768904E-4</v>
      </c>
      <c r="I586" s="40">
        <v>1.4101472070542149</v>
      </c>
      <c r="J586" s="59">
        <v>0</v>
      </c>
      <c r="K586" s="59">
        <v>4955.4416909813881</v>
      </c>
      <c r="L586" s="59">
        <v>0</v>
      </c>
      <c r="M586" s="11">
        <v>0.84070932865142822</v>
      </c>
      <c r="N586" s="11">
        <v>0.72380220890045166</v>
      </c>
      <c r="O586" s="11">
        <v>0.27810466289520264</v>
      </c>
      <c r="Q586" s="59">
        <v>14.718905966284803</v>
      </c>
      <c r="R586" s="78">
        <v>535.42303185347032</v>
      </c>
      <c r="S586" s="78">
        <v>14.771901610903869</v>
      </c>
      <c r="T586" s="78">
        <v>626.75021188864662</v>
      </c>
      <c r="U586" s="78">
        <v>5.2995644619066695E-2</v>
      </c>
      <c r="V586" s="78">
        <v>91.327180035176298</v>
      </c>
      <c r="Y586" s="28"/>
      <c r="Z586" s="28"/>
      <c r="AK586" s="28"/>
      <c r="AS586" s="28"/>
      <c r="AT586" s="28"/>
    </row>
    <row r="587" spans="3:46" x14ac:dyDescent="0.15">
      <c r="C587" s="11">
        <v>2.1542578935623169E-2</v>
      </c>
      <c r="D587" s="11">
        <v>1.3043731451034546E-2</v>
      </c>
      <c r="E587" s="11">
        <v>0.37781049060357208</v>
      </c>
      <c r="F587" s="11">
        <v>0</v>
      </c>
      <c r="G587" s="11">
        <v>1.7627120018005371E-2</v>
      </c>
      <c r="H587" s="40">
        <v>3.9428448714830857E-4</v>
      </c>
      <c r="I587" s="40">
        <v>1.3728727869647892</v>
      </c>
      <c r="J587" s="59">
        <v>0</v>
      </c>
      <c r="K587" s="59">
        <v>6177.1273612976074</v>
      </c>
      <c r="L587" s="59">
        <v>0</v>
      </c>
      <c r="M587" s="11">
        <v>0.82611507177352905</v>
      </c>
      <c r="N587" s="11">
        <v>0.70377945899963379</v>
      </c>
      <c r="O587" s="11">
        <v>0.30254924297332764</v>
      </c>
      <c r="Q587" s="59">
        <v>14.236431527296331</v>
      </c>
      <c r="R587" s="78">
        <v>477.73261313189244</v>
      </c>
      <c r="S587" s="78">
        <v>14.262027347725589</v>
      </c>
      <c r="T587" s="78">
        <v>610.88769547242828</v>
      </c>
      <c r="U587" s="78">
        <v>2.5595820429257898E-2</v>
      </c>
      <c r="V587" s="78">
        <v>133.15508234053584</v>
      </c>
      <c r="Y587" s="28"/>
      <c r="Z587" s="28"/>
      <c r="AK587" s="28"/>
      <c r="AS587" s="28"/>
      <c r="AT587" s="28"/>
    </row>
    <row r="588" spans="3:46" x14ac:dyDescent="0.15">
      <c r="C588" s="11">
        <v>5.0348281860351562E-2</v>
      </c>
      <c r="D588" s="11">
        <v>9.8803043365478516E-3</v>
      </c>
      <c r="E588" s="11">
        <v>0.24805933349503595</v>
      </c>
      <c r="F588" s="11">
        <v>0</v>
      </c>
      <c r="G588" s="11">
        <v>2.0450681447982788E-2</v>
      </c>
      <c r="H588" s="40">
        <v>3.0619010037786826E-4</v>
      </c>
      <c r="I588" s="40">
        <v>1.5615504933067799</v>
      </c>
      <c r="J588" s="59">
        <v>0</v>
      </c>
      <c r="K588" s="59">
        <v>3196.5924426913261</v>
      </c>
      <c r="L588" s="59">
        <v>0</v>
      </c>
      <c r="M588" s="11">
        <v>0.78662276268005371</v>
      </c>
      <c r="N588" s="11">
        <v>0.69002270698547363</v>
      </c>
      <c r="O588" s="11">
        <v>0.29063999652862549</v>
      </c>
      <c r="Q588" s="59">
        <v>13.1486159161682</v>
      </c>
      <c r="R588" s="78">
        <v>451.63130462822437</v>
      </c>
      <c r="S588" s="78">
        <v>13.183304354220809</v>
      </c>
      <c r="T588" s="78">
        <v>593.5029639704386</v>
      </c>
      <c r="U588" s="78">
        <v>3.4688438052608461E-2</v>
      </c>
      <c r="V588" s="78">
        <v>141.87165934221423</v>
      </c>
      <c r="Y588" s="28"/>
      <c r="Z588" s="28"/>
      <c r="AK588" s="28"/>
      <c r="AS588" s="28"/>
      <c r="AT588" s="28"/>
    </row>
    <row r="589" spans="3:46" x14ac:dyDescent="0.15">
      <c r="C589" s="11">
        <v>2.9295682907104492E-2</v>
      </c>
      <c r="D589" s="11">
        <v>2.6174545288085938E-2</v>
      </c>
      <c r="E589" s="11">
        <v>0.14053099645820319</v>
      </c>
      <c r="F589" s="11">
        <v>0</v>
      </c>
      <c r="G589" s="11">
        <v>4.3849587440490723E-2</v>
      </c>
      <c r="H589" s="40">
        <v>4.0397025803884384E-4</v>
      </c>
      <c r="I589" s="40">
        <v>1.5166552863368765</v>
      </c>
      <c r="J589" s="59">
        <v>0</v>
      </c>
      <c r="K589" s="59">
        <v>6705.2524536848068</v>
      </c>
      <c r="L589" s="59">
        <v>0</v>
      </c>
      <c r="M589" s="11">
        <v>0.88562428951263428</v>
      </c>
      <c r="N589" s="11">
        <v>0.69967031478881836</v>
      </c>
      <c r="O589" s="11">
        <v>0.27610635757446289</v>
      </c>
      <c r="Q589" s="59">
        <v>15.088730748270629</v>
      </c>
      <c r="R589" s="78">
        <v>554.81508819161593</v>
      </c>
      <c r="S589" s="78">
        <v>15.171200318172133</v>
      </c>
      <c r="T589" s="78">
        <v>602.01135740980283</v>
      </c>
      <c r="U589" s="78">
        <v>8.2469569901503448E-2</v>
      </c>
      <c r="V589" s="78">
        <v>47.196269218186899</v>
      </c>
      <c r="Y589" s="28"/>
      <c r="Z589" s="28"/>
      <c r="AK589" s="28"/>
      <c r="AS589" s="28"/>
      <c r="AT589" s="28"/>
    </row>
    <row r="590" spans="3:46" x14ac:dyDescent="0.15">
      <c r="C590" s="11">
        <v>2.9439777135848999E-2</v>
      </c>
      <c r="D590" s="11">
        <v>2.4930447340011597E-2</v>
      </c>
      <c r="E590" s="11">
        <v>0.32829831617059252</v>
      </c>
      <c r="F590" s="11">
        <v>0</v>
      </c>
      <c r="G590" s="11">
        <v>1.939728856086731E-2</v>
      </c>
      <c r="H590" s="40">
        <v>5.7516533723554243E-4</v>
      </c>
      <c r="I590" s="40">
        <v>1.3585181195085119</v>
      </c>
      <c r="J590" s="59">
        <v>0</v>
      </c>
      <c r="K590" s="59">
        <v>2183.3926439285278</v>
      </c>
      <c r="L590" s="59">
        <v>0</v>
      </c>
      <c r="M590" s="11">
        <v>0.86257803440093994</v>
      </c>
      <c r="N590" s="11">
        <v>0.73366254568099976</v>
      </c>
      <c r="O590" s="11">
        <v>0.30652725696563721</v>
      </c>
      <c r="Q590" s="59">
        <v>14.724233140309757</v>
      </c>
      <c r="R590" s="78">
        <v>435.22649417003214</v>
      </c>
      <c r="S590" s="78">
        <v>14.766560812868377</v>
      </c>
      <c r="T590" s="78">
        <v>592.69611179264848</v>
      </c>
      <c r="U590" s="78">
        <v>4.2327672558620577E-2</v>
      </c>
      <c r="V590" s="78">
        <v>157.46961762261634</v>
      </c>
      <c r="Y590" s="28"/>
      <c r="Z590" s="28"/>
      <c r="AK590" s="28"/>
      <c r="AS590" s="28"/>
      <c r="AT590" s="28"/>
    </row>
    <row r="591" spans="3:46" x14ac:dyDescent="0.15">
      <c r="C591" s="11">
        <v>1.9695177674293518E-2</v>
      </c>
      <c r="D591" s="11">
        <v>1.2537315487861633E-2</v>
      </c>
      <c r="E591" s="11">
        <v>0.32184032946430219</v>
      </c>
      <c r="F591" s="11">
        <v>0</v>
      </c>
      <c r="G591" s="11">
        <v>2.6743128895759583E-2</v>
      </c>
      <c r="H591" s="40">
        <v>4.1628037848125067E-4</v>
      </c>
      <c r="I591" s="40">
        <v>1.5095878320286433</v>
      </c>
      <c r="J591" s="59">
        <v>0</v>
      </c>
      <c r="K591" s="59">
        <v>4955.3485587239265</v>
      </c>
      <c r="L591" s="59">
        <v>0</v>
      </c>
      <c r="M591" s="11">
        <v>0.84746980667114258</v>
      </c>
      <c r="N591" s="11">
        <v>0.68358230590820312</v>
      </c>
      <c r="O591" s="11">
        <v>0.30058819055557251</v>
      </c>
      <c r="Q591" s="59">
        <v>14.593273757224299</v>
      </c>
      <c r="R591" s="78">
        <v>505.14828736254202</v>
      </c>
      <c r="S591" s="78">
        <v>14.64794212314005</v>
      </c>
      <c r="T591" s="78">
        <v>615.29594130518637</v>
      </c>
      <c r="U591" s="78">
        <v>5.4668365915750528E-2</v>
      </c>
      <c r="V591" s="78">
        <v>110.14765394264435</v>
      </c>
      <c r="Y591" s="28"/>
      <c r="Z591" s="28"/>
      <c r="AK591" s="28"/>
      <c r="AS591" s="28"/>
      <c r="AT591" s="28"/>
    </row>
    <row r="592" spans="3:46" x14ac:dyDescent="0.15">
      <c r="C592" s="11">
        <v>1.3379096984863281E-2</v>
      </c>
      <c r="D592" s="11">
        <v>1.4623075723648071E-2</v>
      </c>
      <c r="E592" s="11">
        <v>0.23261036454001172</v>
      </c>
      <c r="F592" s="11">
        <v>0</v>
      </c>
      <c r="G592" s="11">
        <v>1.5010446310043335E-2</v>
      </c>
      <c r="H592" s="40">
        <v>4.8274529312661253E-4</v>
      </c>
      <c r="I592" s="40">
        <v>1.5307333739445961</v>
      </c>
      <c r="J592" s="59">
        <v>0</v>
      </c>
      <c r="K592" s="59">
        <v>6757.5043067336082</v>
      </c>
      <c r="L592" s="59">
        <v>0</v>
      </c>
      <c r="M592" s="11">
        <v>0.86522966623306274</v>
      </c>
      <c r="N592" s="11">
        <v>0.77750504016876221</v>
      </c>
      <c r="O592" s="11">
        <v>0.32914179563522339</v>
      </c>
      <c r="Q592" s="59">
        <v>15.010438359771335</v>
      </c>
      <c r="R592" s="78">
        <v>568.84089412520211</v>
      </c>
      <c r="S592" s="78">
        <v>15.062341752202837</v>
      </c>
      <c r="T592" s="78">
        <v>620.52483959439985</v>
      </c>
      <c r="U592" s="78">
        <v>5.1903392431501771E-2</v>
      </c>
      <c r="V592" s="78">
        <v>51.683945469197738</v>
      </c>
      <c r="Y592" s="28"/>
      <c r="Z592" s="28"/>
      <c r="AK592" s="28"/>
      <c r="AS592" s="28"/>
      <c r="AT592" s="28"/>
    </row>
    <row r="593" spans="3:46" x14ac:dyDescent="0.15">
      <c r="C593" s="11">
        <v>1.0279551148414612E-2</v>
      </c>
      <c r="D593" s="11">
        <v>4.6717405319213867E-2</v>
      </c>
      <c r="E593" s="11">
        <v>0.22938806642857773</v>
      </c>
      <c r="F593" s="11">
        <v>0</v>
      </c>
      <c r="G593" s="11">
        <v>3.5744190216064453E-2</v>
      </c>
      <c r="H593" s="40">
        <v>5.8871582507784932E-4</v>
      </c>
      <c r="I593" s="40">
        <v>1.4384104806182005</v>
      </c>
      <c r="J593" s="59">
        <v>0</v>
      </c>
      <c r="K593" s="59">
        <v>4414.5761057734489</v>
      </c>
      <c r="L593" s="59">
        <v>0</v>
      </c>
      <c r="M593" s="11">
        <v>0.8864511251449585</v>
      </c>
      <c r="N593" s="11">
        <v>0.73944771289825439</v>
      </c>
      <c r="O593" s="11">
        <v>0.29793423414230347</v>
      </c>
      <c r="Q593" s="59">
        <v>15.393553391567254</v>
      </c>
      <c r="R593" s="78">
        <v>513.16420735658244</v>
      </c>
      <c r="S593" s="78">
        <v>15.472737463523508</v>
      </c>
      <c r="T593" s="78">
        <v>606.83295928799396</v>
      </c>
      <c r="U593" s="78">
        <v>7.9184071956253987E-2</v>
      </c>
      <c r="V593" s="78">
        <v>93.668751931411521</v>
      </c>
      <c r="Y593" s="28"/>
      <c r="Z593" s="28"/>
      <c r="AK593" s="28"/>
      <c r="AS593" s="28"/>
      <c r="AT593" s="28"/>
    </row>
    <row r="594" spans="3:46" x14ac:dyDescent="0.15">
      <c r="C594" s="11">
        <v>7.6982825994491577E-3</v>
      </c>
      <c r="D594" s="11">
        <v>1.4261901378631592E-2</v>
      </c>
      <c r="E594" s="11">
        <v>0.48244779572308277</v>
      </c>
      <c r="F594" s="11">
        <v>0</v>
      </c>
      <c r="G594" s="11">
        <v>3.2141894102096558E-2</v>
      </c>
      <c r="H594" s="40">
        <v>4.6981530308936442E-4</v>
      </c>
      <c r="I594" s="40">
        <v>1.4698695560543011</v>
      </c>
      <c r="J594" s="59">
        <v>0</v>
      </c>
      <c r="K594" s="59">
        <v>8382.7599883079529</v>
      </c>
      <c r="L594" s="59">
        <v>0</v>
      </c>
      <c r="M594" s="11">
        <v>0.77935791015625</v>
      </c>
      <c r="N594" s="11">
        <v>0.72391843795776367</v>
      </c>
      <c r="O594" s="11">
        <v>0.3268774151802063</v>
      </c>
      <c r="Q594" s="59">
        <v>13.616598887023265</v>
      </c>
      <c r="R594" s="78">
        <v>590.85512534631914</v>
      </c>
      <c r="S594" s="78">
        <v>13.638930639524419</v>
      </c>
      <c r="T594" s="78">
        <v>675.00532237380219</v>
      </c>
      <c r="U594" s="78">
        <v>2.2331752501154156E-2</v>
      </c>
      <c r="V594" s="78">
        <v>84.150197027483046</v>
      </c>
      <c r="Y594" s="28"/>
      <c r="Z594" s="28"/>
      <c r="AK594" s="28"/>
      <c r="AS594" s="28"/>
      <c r="AT594" s="28"/>
    </row>
    <row r="595" spans="3:46" x14ac:dyDescent="0.15">
      <c r="C595" s="11">
        <v>1.1714980006217957E-2</v>
      </c>
      <c r="D595" s="11">
        <v>7.2461515665054321E-3</v>
      </c>
      <c r="E595" s="11">
        <v>0.1464417660389751</v>
      </c>
      <c r="F595" s="11">
        <v>0</v>
      </c>
      <c r="G595" s="11">
        <v>3.0301004648208618E-2</v>
      </c>
      <c r="H595" s="40">
        <v>4.7495537721201374E-4</v>
      </c>
      <c r="I595" s="40">
        <v>1.4782112812683572</v>
      </c>
      <c r="J595" s="59">
        <v>0</v>
      </c>
      <c r="K595" s="59">
        <v>3648.9032208919525</v>
      </c>
      <c r="L595" s="59">
        <v>0</v>
      </c>
      <c r="M595" s="11">
        <v>0.86871564388275146</v>
      </c>
      <c r="N595" s="11">
        <v>0.72235029935836792</v>
      </c>
      <c r="O595" s="11">
        <v>0.31333529949188232</v>
      </c>
      <c r="Q595" s="59">
        <v>15.086432632224328</v>
      </c>
      <c r="R595" s="78">
        <v>481.59325351704558</v>
      </c>
      <c r="S595" s="78">
        <v>15.153131755156902</v>
      </c>
      <c r="T595" s="78">
        <v>592.06883755348224</v>
      </c>
      <c r="U595" s="78">
        <v>6.6699122932574184E-2</v>
      </c>
      <c r="V595" s="78">
        <v>110.47558403643666</v>
      </c>
      <c r="Y595" s="28"/>
      <c r="Z595" s="28"/>
      <c r="AK595" s="28"/>
      <c r="AS595" s="28"/>
      <c r="AT595" s="28"/>
    </row>
    <row r="596" spans="3:46" x14ac:dyDescent="0.15">
      <c r="C596" s="11">
        <v>1.6674846410751343E-2</v>
      </c>
      <c r="D596" s="11">
        <v>4.7792196273803711E-2</v>
      </c>
      <c r="E596" s="11">
        <v>0.26909071420858616</v>
      </c>
      <c r="F596" s="11">
        <v>0</v>
      </c>
      <c r="G596" s="11">
        <v>5.175471305847168E-2</v>
      </c>
      <c r="H596" s="40">
        <v>5.3586589433689735E-4</v>
      </c>
      <c r="I596" s="40">
        <v>1.4126079246259278</v>
      </c>
      <c r="J596" s="59">
        <v>0</v>
      </c>
      <c r="K596" s="59">
        <v>5191.5738731622696</v>
      </c>
      <c r="L596" s="59">
        <v>0</v>
      </c>
      <c r="M596" s="11">
        <v>0.83759760856628418</v>
      </c>
      <c r="N596" s="11">
        <v>0.7574317455291748</v>
      </c>
      <c r="O596" s="11">
        <v>0.30191811919212341</v>
      </c>
      <c r="Q596" s="59">
        <v>14.480871747164787</v>
      </c>
      <c r="R596" s="78">
        <v>521.34066531318433</v>
      </c>
      <c r="S596" s="78">
        <v>14.529833907687548</v>
      </c>
      <c r="T596" s="78">
        <v>613.7518804427383</v>
      </c>
      <c r="U596" s="78">
        <v>4.8962160522760811E-2</v>
      </c>
      <c r="V596" s="78">
        <v>92.411215129553966</v>
      </c>
      <c r="Y596" s="28"/>
      <c r="Z596" s="28"/>
      <c r="AK596" s="28"/>
      <c r="AS596" s="28"/>
      <c r="AT596" s="28"/>
    </row>
    <row r="597" spans="3:46" x14ac:dyDescent="0.15">
      <c r="C597" s="11">
        <v>2.2113591432571411E-2</v>
      </c>
      <c r="D597" s="11">
        <v>2.7716338634490967E-2</v>
      </c>
      <c r="E597" s="11">
        <v>0.52899720726863886</v>
      </c>
      <c r="F597" s="11">
        <v>0</v>
      </c>
      <c r="G597" s="11">
        <v>1.1007308959960938E-2</v>
      </c>
      <c r="H597" s="40">
        <v>4.0660350866293931E-4</v>
      </c>
      <c r="I597" s="40">
        <v>1.3870359511453743</v>
      </c>
      <c r="J597" s="59">
        <v>0</v>
      </c>
      <c r="K597" s="59">
        <v>3636.4072002470493</v>
      </c>
      <c r="L597" s="59">
        <v>0</v>
      </c>
      <c r="M597" s="11">
        <v>0.80853807926177979</v>
      </c>
      <c r="N597" s="11">
        <v>0.73826277256011963</v>
      </c>
      <c r="O597" s="11">
        <v>0.27033954858779907</v>
      </c>
      <c r="Q597" s="59">
        <v>13.930624592870178</v>
      </c>
      <c r="R597" s="78">
        <v>444.69435070885197</v>
      </c>
      <c r="S597" s="78">
        <v>13.947077524916603</v>
      </c>
      <c r="T597" s="78">
        <v>605.99399403984137</v>
      </c>
      <c r="U597" s="78">
        <v>1.6452932046425062E-2</v>
      </c>
      <c r="V597" s="78">
        <v>161.2996433309894</v>
      </c>
      <c r="Y597" s="28"/>
      <c r="Z597" s="28"/>
      <c r="AK597" s="28"/>
      <c r="AS597" s="28"/>
      <c r="AT597" s="28"/>
    </row>
    <row r="598" spans="3:46" x14ac:dyDescent="0.15">
      <c r="C598" s="11">
        <v>3.8865208625793457E-3</v>
      </c>
      <c r="D598" s="11">
        <v>3.7503361701965332E-2</v>
      </c>
      <c r="E598" s="11">
        <v>0.16422305205383603</v>
      </c>
      <c r="F598" s="11">
        <v>0</v>
      </c>
      <c r="G598" s="11">
        <v>5.8711528778076172E-2</v>
      </c>
      <c r="H598" s="40">
        <v>4.2171480527489224E-4</v>
      </c>
      <c r="I598" s="40">
        <v>1.4695649500429269</v>
      </c>
      <c r="J598" s="59">
        <v>0</v>
      </c>
      <c r="K598" s="59">
        <v>8169.7944551706314</v>
      </c>
      <c r="L598" s="59">
        <v>0</v>
      </c>
      <c r="M598" s="11">
        <v>0.89844107627868652</v>
      </c>
      <c r="N598" s="11">
        <v>0.7377849817276001</v>
      </c>
      <c r="O598" s="11">
        <v>0.35662221908569336</v>
      </c>
      <c r="Q598" s="59">
        <v>15.722703379002724</v>
      </c>
      <c r="R598" s="78">
        <v>589.49668574816087</v>
      </c>
      <c r="S598" s="78">
        <v>15.793748997887706</v>
      </c>
      <c r="T598" s="78">
        <v>611.60262850249262</v>
      </c>
      <c r="U598" s="78">
        <v>7.1045618884982176E-2</v>
      </c>
      <c r="V598" s="78">
        <v>22.10594275433175</v>
      </c>
      <c r="Y598" s="28"/>
      <c r="Z598" s="28"/>
      <c r="AK598" s="28"/>
      <c r="AS598" s="28"/>
      <c r="AT598" s="28"/>
    </row>
    <row r="599" spans="3:46" x14ac:dyDescent="0.15">
      <c r="C599" s="11">
        <v>2.6489377021789551E-2</v>
      </c>
      <c r="D599" s="11">
        <v>7.8247636556625366E-3</v>
      </c>
      <c r="E599" s="11">
        <v>0.26097205596370437</v>
      </c>
      <c r="F599" s="11">
        <v>0</v>
      </c>
      <c r="G599" s="11">
        <v>2.4308204650878906E-2</v>
      </c>
      <c r="H599" s="40">
        <v>5.5537830457843651E-4</v>
      </c>
      <c r="I599" s="40">
        <v>1.3608068180607935</v>
      </c>
      <c r="J599" s="59">
        <v>0</v>
      </c>
      <c r="K599" s="59">
        <v>5246.7361092567444</v>
      </c>
      <c r="L599" s="59">
        <v>0</v>
      </c>
      <c r="M599" s="11">
        <v>0.85918670892715454</v>
      </c>
      <c r="N599" s="11">
        <v>0.76896744966506958</v>
      </c>
      <c r="O599" s="11">
        <v>0.26791006326675415</v>
      </c>
      <c r="Q599" s="59">
        <v>14.725513704432288</v>
      </c>
      <c r="R599" s="78">
        <v>493.76243960577534</v>
      </c>
      <c r="S599" s="78">
        <v>14.761380154394677</v>
      </c>
      <c r="T599" s="78">
        <v>605.36625223050692</v>
      </c>
      <c r="U599" s="78">
        <v>3.5866449962389524E-2</v>
      </c>
      <c r="V599" s="78">
        <v>111.60381262473157</v>
      </c>
      <c r="Y599" s="28"/>
      <c r="Z599" s="28"/>
      <c r="AK599" s="28"/>
      <c r="AS599" s="28"/>
      <c r="AT599" s="28"/>
    </row>
    <row r="600" spans="3:46" x14ac:dyDescent="0.15">
      <c r="C600" s="11">
        <v>8.9188665151596069E-3</v>
      </c>
      <c r="D600" s="11">
        <v>5.0806999206542969E-3</v>
      </c>
      <c r="E600" s="11">
        <v>0.19889470936358605</v>
      </c>
      <c r="F600" s="11">
        <v>0</v>
      </c>
      <c r="G600" s="11">
        <v>6.6140055656433105E-2</v>
      </c>
      <c r="H600" s="40">
        <v>5.0529791973782305E-4</v>
      </c>
      <c r="I600" s="40">
        <v>1.4408878716859839</v>
      </c>
      <c r="J600" s="59">
        <v>0</v>
      </c>
      <c r="K600" s="59">
        <v>8378.8670599460602</v>
      </c>
      <c r="L600" s="59">
        <v>0</v>
      </c>
      <c r="M600" s="11">
        <v>0.86760041117668152</v>
      </c>
      <c r="N600" s="11">
        <v>0.75030934810638428</v>
      </c>
      <c r="O600" s="11">
        <v>0.30754446983337402</v>
      </c>
      <c r="Q600" s="59">
        <v>15.118193118170151</v>
      </c>
      <c r="R600" s="78">
        <v>623.74994731382469</v>
      </c>
      <c r="S600" s="78">
        <v>15.174050078864328</v>
      </c>
      <c r="T600" s="78">
        <v>625.4253510930771</v>
      </c>
      <c r="U600" s="78">
        <v>5.5856960694177005E-2</v>
      </c>
      <c r="V600" s="78">
        <v>1.6754037792524059</v>
      </c>
      <c r="Y600" s="28"/>
      <c r="Z600" s="28"/>
      <c r="AK600" s="28"/>
      <c r="AS600" s="28"/>
      <c r="AT600" s="28"/>
    </row>
    <row r="601" spans="3:46" x14ac:dyDescent="0.15">
      <c r="C601" s="11">
        <v>2.1148979663848877E-2</v>
      </c>
      <c r="D601" s="11">
        <v>6.3017845153808594E-2</v>
      </c>
      <c r="E601" s="11">
        <v>0.15372412201809144</v>
      </c>
      <c r="F601" s="11">
        <v>0</v>
      </c>
      <c r="G601" s="11">
        <v>1.5044510364532471E-2</v>
      </c>
      <c r="H601" s="40">
        <v>5.7478105772356845E-4</v>
      </c>
      <c r="I601" s="40">
        <v>1.416348006584788</v>
      </c>
      <c r="J601" s="59">
        <v>0</v>
      </c>
      <c r="K601" s="59">
        <v>7234.3740612268448</v>
      </c>
      <c r="L601" s="59">
        <v>0</v>
      </c>
      <c r="M601" s="11">
        <v>0.845823734998703</v>
      </c>
      <c r="N601" s="11">
        <v>0.76505005359649658</v>
      </c>
      <c r="O601" s="11">
        <v>0.32649290561676025</v>
      </c>
      <c r="Q601" s="59">
        <v>14.555514926725028</v>
      </c>
      <c r="R601" s="78">
        <v>551.73186053661914</v>
      </c>
      <c r="S601" s="78">
        <v>14.613506646939568</v>
      </c>
      <c r="T601" s="78">
        <v>603.69695334883806</v>
      </c>
      <c r="U601" s="78">
        <v>5.799172021453991E-2</v>
      </c>
      <c r="V601" s="78">
        <v>51.965092812218927</v>
      </c>
      <c r="Y601" s="28"/>
      <c r="Z601" s="28"/>
      <c r="AK601" s="28"/>
      <c r="AS601" s="28"/>
      <c r="AT601" s="28"/>
    </row>
    <row r="602" spans="3:46" x14ac:dyDescent="0.15">
      <c r="C602" s="11">
        <v>8.9091956615447998E-3</v>
      </c>
      <c r="D602" s="11">
        <v>1.4884263277053833E-2</v>
      </c>
      <c r="E602" s="11">
        <v>0.28384792683326648</v>
      </c>
      <c r="F602" s="11">
        <v>0</v>
      </c>
      <c r="G602" s="11">
        <v>4.0596991777420044E-2</v>
      </c>
      <c r="H602" s="40">
        <v>5.2499821526637931E-4</v>
      </c>
      <c r="I602" s="40">
        <v>1.4512763353291376</v>
      </c>
      <c r="J602" s="59">
        <v>0</v>
      </c>
      <c r="K602" s="59">
        <v>3191.3816928863525</v>
      </c>
      <c r="L602" s="59">
        <v>0</v>
      </c>
      <c r="M602" s="11">
        <v>0.84079411625862122</v>
      </c>
      <c r="N602" s="11">
        <v>0.7560390830039978</v>
      </c>
      <c r="O602" s="11">
        <v>0.26994365453720093</v>
      </c>
      <c r="Q602" s="59">
        <v>14.655173317564147</v>
      </c>
      <c r="R602" s="78">
        <v>476.6951125060645</v>
      </c>
      <c r="S602" s="78">
        <v>14.70063148349031</v>
      </c>
      <c r="T602" s="78">
        <v>602.84099475838923</v>
      </c>
      <c r="U602" s="78">
        <v>4.5458165926163474E-2</v>
      </c>
      <c r="V602" s="78">
        <v>126.14588225232472</v>
      </c>
      <c r="Y602" s="28"/>
      <c r="Z602" s="28"/>
      <c r="AK602" s="28"/>
      <c r="AS602" s="28"/>
      <c r="AT602" s="28"/>
    </row>
    <row r="603" spans="3:46" x14ac:dyDescent="0.15">
      <c r="C603" s="11">
        <v>2.4080544710159302E-2</v>
      </c>
      <c r="D603" s="11">
        <v>6.4925700426101685E-3</v>
      </c>
      <c r="E603" s="11">
        <v>0.19145719715545315</v>
      </c>
      <c r="F603" s="11">
        <v>0</v>
      </c>
      <c r="G603" s="11">
        <v>6.6161394119262695E-2</v>
      </c>
      <c r="H603" s="40">
        <v>8.5084378004940799E-4</v>
      </c>
      <c r="I603" s="40">
        <v>1.3704771466538035</v>
      </c>
      <c r="J603" s="59">
        <v>0</v>
      </c>
      <c r="K603" s="59">
        <v>4573.4108425676823</v>
      </c>
      <c r="L603" s="59">
        <v>0</v>
      </c>
      <c r="M603" s="11">
        <v>0.85571688413619995</v>
      </c>
      <c r="N603" s="11">
        <v>0.74927866458892822</v>
      </c>
      <c r="O603" s="11">
        <v>0.34789276123046875</v>
      </c>
      <c r="Q603" s="59">
        <v>14.665572744905898</v>
      </c>
      <c r="R603" s="78">
        <v>562.2528493888035</v>
      </c>
      <c r="S603" s="78">
        <v>14.734272070406149</v>
      </c>
      <c r="T603" s="78">
        <v>611.89661216900402</v>
      </c>
      <c r="U603" s="78">
        <v>6.8699325500251263E-2</v>
      </c>
      <c r="V603" s="78">
        <v>49.643762780200518</v>
      </c>
      <c r="Y603" s="28"/>
      <c r="Z603" s="28"/>
      <c r="AK603" s="28"/>
      <c r="AS603" s="28"/>
      <c r="AT603" s="28"/>
    </row>
    <row r="604" spans="3:46" x14ac:dyDescent="0.15">
      <c r="C604" s="11">
        <v>3.8204789161682129E-3</v>
      </c>
      <c r="D604" s="11">
        <v>2.3546904325485229E-2</v>
      </c>
      <c r="E604" s="11">
        <v>0.27966382170492859</v>
      </c>
      <c r="F604" s="11">
        <v>0</v>
      </c>
      <c r="G604" s="11">
        <v>2.6443839073181152E-2</v>
      </c>
      <c r="H604" s="40">
        <v>4.1211609040235918E-4</v>
      </c>
      <c r="I604" s="40">
        <v>1.4022694542317593</v>
      </c>
      <c r="J604" s="59">
        <v>0</v>
      </c>
      <c r="K604" s="59">
        <v>3707.7069282531738</v>
      </c>
      <c r="L604" s="59">
        <v>0</v>
      </c>
      <c r="M604" s="11">
        <v>0.84510582685470581</v>
      </c>
      <c r="N604" s="11">
        <v>0.72014957666397095</v>
      </c>
      <c r="O604" s="11">
        <v>0.28328457474708557</v>
      </c>
      <c r="Q604" s="59">
        <v>14.817412775476573</v>
      </c>
      <c r="R604" s="78">
        <v>455.1904695885421</v>
      </c>
      <c r="S604" s="78">
        <v>14.855519106991331</v>
      </c>
      <c r="T604" s="78">
        <v>596.29431596389782</v>
      </c>
      <c r="U604" s="78">
        <v>3.8106331514757841E-2</v>
      </c>
      <c r="V604" s="78">
        <v>141.10384637535572</v>
      </c>
      <c r="Y604" s="28"/>
      <c r="Z604" s="28"/>
      <c r="AK604" s="28"/>
      <c r="AS604" s="28"/>
      <c r="AT604" s="28"/>
    </row>
    <row r="605" spans="3:46" x14ac:dyDescent="0.15">
      <c r="C605" s="11">
        <v>2.5813877582550049E-2</v>
      </c>
      <c r="D605" s="11">
        <v>8.213430643081665E-3</v>
      </c>
      <c r="E605" s="11">
        <v>0.22287739285204655</v>
      </c>
      <c r="F605" s="11">
        <v>0</v>
      </c>
      <c r="G605" s="11">
        <v>5.0588428974151611E-2</v>
      </c>
      <c r="H605" s="40">
        <v>4.2189195378457923E-4</v>
      </c>
      <c r="I605" s="40">
        <v>1.4051208280074707</v>
      </c>
      <c r="J605" s="59">
        <v>0</v>
      </c>
      <c r="K605" s="59">
        <v>4200.9633034467697</v>
      </c>
      <c r="L605" s="59">
        <v>0</v>
      </c>
      <c r="M605" s="11">
        <v>0.76435089111328125</v>
      </c>
      <c r="N605" s="11">
        <v>0.76353752613067627</v>
      </c>
      <c r="O605" s="11">
        <v>0.28919291496276855</v>
      </c>
      <c r="Q605" s="59">
        <v>13.13240154220628</v>
      </c>
      <c r="R605" s="78">
        <v>473.6327840072488</v>
      </c>
      <c r="S605" s="78">
        <v>13.148072605276907</v>
      </c>
      <c r="T605" s="78">
        <v>596.95350446211694</v>
      </c>
      <c r="U605" s="78">
        <v>1.5671063070627156E-2</v>
      </c>
      <c r="V605" s="78">
        <v>123.32072045486814</v>
      </c>
      <c r="Y605" s="28"/>
      <c r="Z605" s="28"/>
      <c r="AK605" s="28"/>
      <c r="AS605" s="28"/>
      <c r="AT605" s="28"/>
    </row>
    <row r="606" spans="3:46" x14ac:dyDescent="0.15">
      <c r="C606" s="11">
        <v>1.652158796787262E-2</v>
      </c>
      <c r="D606" s="11">
        <v>1.0257318615913391E-2</v>
      </c>
      <c r="E606" s="11">
        <v>0.23499864811884844</v>
      </c>
      <c r="F606" s="11">
        <v>0</v>
      </c>
      <c r="G606" s="11">
        <v>4.225534200668335E-2</v>
      </c>
      <c r="H606" s="40">
        <v>4.0206463043225061E-4</v>
      </c>
      <c r="I606" s="40">
        <v>1.5445783142843512</v>
      </c>
      <c r="J606" s="59">
        <v>0</v>
      </c>
      <c r="K606" s="59">
        <v>4154.471680521965</v>
      </c>
      <c r="L606" s="59">
        <v>0</v>
      </c>
      <c r="M606" s="11">
        <v>0.81545013189315796</v>
      </c>
      <c r="N606" s="11">
        <v>0.79328644275665283</v>
      </c>
      <c r="O606" s="11">
        <v>0.31844079494476318</v>
      </c>
      <c r="Q606" s="59">
        <v>14.128002142723014</v>
      </c>
      <c r="R606" s="78">
        <v>502.49171633007222</v>
      </c>
      <c r="S606" s="78">
        <v>14.156713953867412</v>
      </c>
      <c r="T606" s="78">
        <v>604.94866533633751</v>
      </c>
      <c r="U606" s="78">
        <v>2.8711811144397359E-2</v>
      </c>
      <c r="V606" s="78">
        <v>102.45694900626529</v>
      </c>
      <c r="Y606" s="28"/>
      <c r="Z606" s="28"/>
      <c r="AK606" s="28"/>
      <c r="AS606" s="28"/>
      <c r="AT606" s="28"/>
    </row>
    <row r="607" spans="3:46" x14ac:dyDescent="0.15">
      <c r="C607" s="11">
        <v>2.0473241806030273E-2</v>
      </c>
      <c r="D607" s="11">
        <v>3.1312406063079834E-3</v>
      </c>
      <c r="E607" s="11">
        <v>0.30049394026287457</v>
      </c>
      <c r="F607" s="11">
        <v>0</v>
      </c>
      <c r="G607" s="11">
        <v>7.4641227722167969E-2</v>
      </c>
      <c r="H607" s="40">
        <v>2.7883395540237481E-4</v>
      </c>
      <c r="I607" s="40">
        <v>1.5540737079871643</v>
      </c>
      <c r="J607" s="59">
        <v>0</v>
      </c>
      <c r="K607" s="59">
        <v>5767.5899006426334</v>
      </c>
      <c r="L607" s="59">
        <v>0</v>
      </c>
      <c r="M607" s="11">
        <v>0.875255286693573</v>
      </c>
      <c r="N607" s="11">
        <v>0.73122274875640869</v>
      </c>
      <c r="O607" s="11">
        <v>0.30552822351455688</v>
      </c>
      <c r="Q607" s="59">
        <v>15.082389183382167</v>
      </c>
      <c r="R607" s="78">
        <v>518.93955130778431</v>
      </c>
      <c r="S607" s="78">
        <v>15.124972448016827</v>
      </c>
      <c r="T607" s="78">
        <v>616.96961999473342</v>
      </c>
      <c r="U607" s="78">
        <v>4.2583264634659557E-2</v>
      </c>
      <c r="V607" s="78">
        <v>98.030068686949107</v>
      </c>
      <c r="Y607" s="28"/>
      <c r="Z607" s="28"/>
      <c r="AK607" s="28"/>
      <c r="AS607" s="28"/>
      <c r="AT607" s="28"/>
    </row>
    <row r="608" spans="3:46" x14ac:dyDescent="0.15">
      <c r="C608" s="11">
        <v>2.7231544256210327E-2</v>
      </c>
      <c r="D608" s="11">
        <v>8.0823898315429688E-4</v>
      </c>
      <c r="E608" s="11">
        <v>0.24025470475991281</v>
      </c>
      <c r="F608" s="11">
        <v>0</v>
      </c>
      <c r="G608" s="11">
        <v>3.1395465135574341E-2</v>
      </c>
      <c r="H608" s="40">
        <v>5.3269806045763929E-4</v>
      </c>
      <c r="I608" s="40">
        <v>1.4441315312387322</v>
      </c>
      <c r="J608" s="59">
        <v>0</v>
      </c>
      <c r="K608" s="59">
        <v>4029.2995981872082</v>
      </c>
      <c r="L608" s="59">
        <v>0</v>
      </c>
      <c r="M608" s="11">
        <v>0.88349258899688721</v>
      </c>
      <c r="N608" s="11">
        <v>0.70206022262573242</v>
      </c>
      <c r="O608" s="11">
        <v>0.30313116312026978</v>
      </c>
      <c r="Q608" s="59">
        <v>15.091352855897501</v>
      </c>
      <c r="R608" s="78">
        <v>491.32927879890934</v>
      </c>
      <c r="S608" s="78">
        <v>15.158810834493224</v>
      </c>
      <c r="T608" s="78">
        <v>602.77260497373402</v>
      </c>
      <c r="U608" s="78">
        <v>6.7457978595722778E-2</v>
      </c>
      <c r="V608" s="78">
        <v>111.44332617482468</v>
      </c>
      <c r="Y608" s="28"/>
      <c r="Z608" s="28"/>
      <c r="AK608" s="28"/>
      <c r="AS608" s="28"/>
      <c r="AT608" s="28"/>
    </row>
    <row r="609" spans="3:46" x14ac:dyDescent="0.15">
      <c r="C609" s="11">
        <v>3.5718023777008057E-2</v>
      </c>
      <c r="D609" s="11">
        <v>8.9925378561019897E-3</v>
      </c>
      <c r="E609" s="11">
        <v>0.26437113341458729</v>
      </c>
      <c r="F609" s="11">
        <v>0</v>
      </c>
      <c r="G609" s="11">
        <v>2.2233545780181885E-2</v>
      </c>
      <c r="H609" s="40">
        <v>5.0381804031889705E-4</v>
      </c>
      <c r="I609" s="40">
        <v>1.2977512012186188</v>
      </c>
      <c r="J609" s="59">
        <v>0</v>
      </c>
      <c r="K609" s="59">
        <v>8566.2305355072021</v>
      </c>
      <c r="L609" s="59">
        <v>0</v>
      </c>
      <c r="M609" s="11">
        <v>0.82294273376464844</v>
      </c>
      <c r="N609" s="11">
        <v>0.78661644458770752</v>
      </c>
      <c r="O609" s="11">
        <v>0.32533109188079834</v>
      </c>
      <c r="Q609" s="59">
        <v>13.994320938942096</v>
      </c>
      <c r="R609" s="78">
        <v>514.65210882698216</v>
      </c>
      <c r="S609" s="78">
        <v>14.010873118416102</v>
      </c>
      <c r="T609" s="78">
        <v>611.19194582266903</v>
      </c>
      <c r="U609" s="78">
        <v>1.6552179474006223E-2</v>
      </c>
      <c r="V609" s="78">
        <v>96.539836995686869</v>
      </c>
      <c r="Y609" s="28"/>
      <c r="Z609" s="28"/>
      <c r="AK609" s="28"/>
      <c r="AS609" s="28"/>
      <c r="AT609" s="28"/>
    </row>
    <row r="610" spans="3:46" x14ac:dyDescent="0.15">
      <c r="C610" s="11">
        <v>1.0843932628631592E-2</v>
      </c>
      <c r="D610" s="11">
        <v>1.0849654674530029E-2</v>
      </c>
      <c r="E610" s="11">
        <v>0.10338175666281788</v>
      </c>
      <c r="F610" s="11">
        <v>0</v>
      </c>
      <c r="G610" s="11">
        <v>2.590334415435791E-2</v>
      </c>
      <c r="H610" s="40">
        <v>5.5483770732541609E-4</v>
      </c>
      <c r="I610" s="40">
        <v>1.4062268609675328</v>
      </c>
      <c r="J610" s="59">
        <v>0</v>
      </c>
      <c r="K610" s="59">
        <v>6419.7438769042492</v>
      </c>
      <c r="L610" s="59">
        <v>0</v>
      </c>
      <c r="M610" s="11">
        <v>0.89736747741699219</v>
      </c>
      <c r="N610" s="11">
        <v>0.69393467903137207</v>
      </c>
      <c r="O610" s="11">
        <v>0.27833414077758789</v>
      </c>
      <c r="Q610" s="59">
        <v>15.583354382361817</v>
      </c>
      <c r="R610" s="78">
        <v>536.42956909030738</v>
      </c>
      <c r="S610" s="78">
        <v>15.668765926815473</v>
      </c>
      <c r="T610" s="78">
        <v>593.99069471739858</v>
      </c>
      <c r="U610" s="78">
        <v>8.5411544453656063E-2</v>
      </c>
      <c r="V610" s="78">
        <v>57.561125627091201</v>
      </c>
      <c r="Y610" s="28"/>
      <c r="Z610" s="28"/>
      <c r="AK610" s="28"/>
      <c r="AS610" s="28"/>
      <c r="AT610" s="28"/>
    </row>
    <row r="611" spans="3:46" x14ac:dyDescent="0.15">
      <c r="C611" s="11">
        <v>1.7057731747627258E-2</v>
      </c>
      <c r="D611" s="11">
        <v>1.7230719327926636E-2</v>
      </c>
      <c r="E611" s="11">
        <v>0.38416202999752497</v>
      </c>
      <c r="F611" s="11">
        <v>0</v>
      </c>
      <c r="G611" s="11">
        <v>4.7296732664108276E-2</v>
      </c>
      <c r="H611" s="40">
        <v>4.741055130222834E-4</v>
      </c>
      <c r="I611" s="40">
        <v>1.4948629913773142</v>
      </c>
      <c r="J611" s="59">
        <v>0</v>
      </c>
      <c r="K611" s="59">
        <v>7219.9525311589241</v>
      </c>
      <c r="L611" s="59">
        <v>0</v>
      </c>
      <c r="M611" s="11">
        <v>0.8838927149772644</v>
      </c>
      <c r="N611" s="11">
        <v>0.76863193511962891</v>
      </c>
      <c r="O611" s="11">
        <v>0.31562912464141846</v>
      </c>
      <c r="Q611" s="59">
        <v>15.268317112548601</v>
      </c>
      <c r="R611" s="78">
        <v>590.4615832604577</v>
      </c>
      <c r="S611" s="78">
        <v>15.315904779497041</v>
      </c>
      <c r="T611" s="78">
        <v>655.53475973239472</v>
      </c>
      <c r="U611" s="78">
        <v>4.7587666948439633E-2</v>
      </c>
      <c r="V611" s="78">
        <v>65.073176471937018</v>
      </c>
      <c r="Y611" s="28"/>
      <c r="Z611" s="28"/>
      <c r="AK611" s="28"/>
      <c r="AS611" s="28"/>
      <c r="AT611" s="28"/>
    </row>
    <row r="612" spans="3:46" x14ac:dyDescent="0.15">
      <c r="C612" s="11">
        <v>2.3726820945739746E-2</v>
      </c>
      <c r="D612" s="11">
        <v>6.6499859094619751E-3</v>
      </c>
      <c r="E612" s="11">
        <v>0.2353227453700043</v>
      </c>
      <c r="F612" s="11">
        <v>0</v>
      </c>
      <c r="G612" s="11">
        <v>2.9847323894500732E-2</v>
      </c>
      <c r="H612" s="40">
        <v>4.1390720639684431E-4</v>
      </c>
      <c r="I612" s="40">
        <v>1.4569229608169922</v>
      </c>
      <c r="J612" s="59">
        <v>0</v>
      </c>
      <c r="K612" s="59">
        <v>6525.3488719463348</v>
      </c>
      <c r="L612" s="59">
        <v>0</v>
      </c>
      <c r="M612" s="11">
        <v>0.87920111417770386</v>
      </c>
      <c r="N612" s="11">
        <v>0.77784794569015503</v>
      </c>
      <c r="O612" s="11">
        <v>0.33294892311096191</v>
      </c>
      <c r="Q612" s="59">
        <v>15.110653326987194</v>
      </c>
      <c r="R612" s="78">
        <v>520.88851938511993</v>
      </c>
      <c r="S612" s="78">
        <v>15.149241058082675</v>
      </c>
      <c r="T612" s="78">
        <v>609.2668882163432</v>
      </c>
      <c r="U612" s="78">
        <v>3.8587731095480748E-2</v>
      </c>
      <c r="V612" s="78">
        <v>88.37836883122327</v>
      </c>
      <c r="Y612" s="28"/>
      <c r="Z612" s="28"/>
      <c r="AK612" s="28"/>
      <c r="AS612" s="28"/>
      <c r="AT612" s="28"/>
    </row>
    <row r="613" spans="3:46" x14ac:dyDescent="0.15">
      <c r="C613" s="11">
        <v>6.0935258865356445E-2</v>
      </c>
      <c r="D613" s="11">
        <v>4.7176182270050049E-3</v>
      </c>
      <c r="E613" s="11">
        <v>0.44581694944852351</v>
      </c>
      <c r="F613" s="11">
        <v>0</v>
      </c>
      <c r="G613" s="11">
        <v>3.1298786401748657E-2</v>
      </c>
      <c r="H613" s="40">
        <v>4.6889523219202585E-4</v>
      </c>
      <c r="I613" s="40">
        <v>1.4747302091163124</v>
      </c>
      <c r="J613" s="59">
        <v>0</v>
      </c>
      <c r="K613" s="59">
        <v>6695.0637847185135</v>
      </c>
      <c r="L613" s="59">
        <v>0</v>
      </c>
      <c r="M613" s="11">
        <v>0.88339138031005859</v>
      </c>
      <c r="N613" s="11">
        <v>0.81661486625671387</v>
      </c>
      <c r="O613" s="11">
        <v>0.32324105501174927</v>
      </c>
      <c r="Q613" s="59">
        <v>14.605605262264588</v>
      </c>
      <c r="R613" s="78">
        <v>544.21119379060747</v>
      </c>
      <c r="S613" s="78">
        <v>14.631585921817159</v>
      </c>
      <c r="T613" s="78">
        <v>646.75935618801043</v>
      </c>
      <c r="U613" s="78">
        <v>2.5980659552571339E-2</v>
      </c>
      <c r="V613" s="78">
        <v>102.54816239740296</v>
      </c>
      <c r="Y613" s="28"/>
      <c r="Z613" s="28"/>
      <c r="AK613" s="28"/>
      <c r="AS613" s="28"/>
      <c r="AT613" s="28"/>
    </row>
    <row r="614" spans="3:46" x14ac:dyDescent="0.15">
      <c r="C614" s="11">
        <v>2.7168989181518555E-3</v>
      </c>
      <c r="D614" s="11">
        <v>5.5677175521850586E-2</v>
      </c>
      <c r="E614" s="11">
        <v>0.20127806732941569</v>
      </c>
      <c r="F614" s="11">
        <v>0</v>
      </c>
      <c r="G614" s="11">
        <v>4.5790553092956543E-2</v>
      </c>
      <c r="H614" s="40">
        <v>4.4775301644155152E-4</v>
      </c>
      <c r="I614" s="40">
        <v>1.4864050073943513</v>
      </c>
      <c r="J614" s="59">
        <v>0</v>
      </c>
      <c r="K614" s="59">
        <v>4317.618440836668</v>
      </c>
      <c r="L614" s="59">
        <v>0</v>
      </c>
      <c r="M614" s="11">
        <v>0.90174102783203125</v>
      </c>
      <c r="N614" s="11">
        <v>0.74329084157943726</v>
      </c>
      <c r="O614" s="11">
        <v>0.31927448511123657</v>
      </c>
      <c r="Q614" s="59">
        <v>15.784291925694212</v>
      </c>
      <c r="R614" s="78">
        <v>501.94349284950448</v>
      </c>
      <c r="S614" s="78">
        <v>15.864101906513115</v>
      </c>
      <c r="T614" s="78">
        <v>601.0929681095696</v>
      </c>
      <c r="U614" s="78">
        <v>7.9809980818902559E-2</v>
      </c>
      <c r="V614" s="78">
        <v>99.149475260065117</v>
      </c>
      <c r="Y614" s="28"/>
      <c r="Z614" s="28"/>
      <c r="AK614" s="28"/>
      <c r="AS614" s="28"/>
      <c r="AT614" s="28"/>
    </row>
    <row r="615" spans="3:46" x14ac:dyDescent="0.15">
      <c r="C615" s="11">
        <v>2.9747128486633301E-2</v>
      </c>
      <c r="D615" s="11">
        <v>2.1579921245574951E-2</v>
      </c>
      <c r="E615" s="11">
        <v>0.30252635113873971</v>
      </c>
      <c r="F615" s="11">
        <v>0</v>
      </c>
      <c r="G615" s="11">
        <v>4.2205065488815308E-2</v>
      </c>
      <c r="H615" s="40">
        <v>4.2300164387511013E-4</v>
      </c>
      <c r="I615" s="40">
        <v>1.5502575936843253</v>
      </c>
      <c r="J615" s="59">
        <v>0</v>
      </c>
      <c r="K615" s="59">
        <v>7879.2311251163483</v>
      </c>
      <c r="L615" s="59">
        <v>0</v>
      </c>
      <c r="M615" s="11">
        <v>0.84615415334701538</v>
      </c>
      <c r="N615" s="11">
        <v>0.75862383842468262</v>
      </c>
      <c r="O615" s="11">
        <v>0.30875051021575928</v>
      </c>
      <c r="Q615" s="59">
        <v>14.431540499482589</v>
      </c>
      <c r="R615" s="78">
        <v>610.05143813023346</v>
      </c>
      <c r="S615" s="78">
        <v>14.479905756970361</v>
      </c>
      <c r="T615" s="78">
        <v>645.49683569694787</v>
      </c>
      <c r="U615" s="78">
        <v>4.8365257487771984E-2</v>
      </c>
      <c r="V615" s="78">
        <v>35.445397566714405</v>
      </c>
      <c r="Y615" s="28"/>
      <c r="Z615" s="28"/>
      <c r="AK615" s="28"/>
      <c r="AS615" s="28"/>
      <c r="AT615" s="28"/>
    </row>
    <row r="616" spans="3:46" x14ac:dyDescent="0.15">
      <c r="C616" s="11">
        <v>1.9977927207946777E-2</v>
      </c>
      <c r="D616" s="11">
        <v>2.5066465139389038E-2</v>
      </c>
      <c r="E616" s="11">
        <v>0.18096422189369296</v>
      </c>
      <c r="F616" s="11">
        <v>0</v>
      </c>
      <c r="G616" s="11">
        <v>5.0477206707000732E-2</v>
      </c>
      <c r="H616" s="40">
        <v>5.1742844708943015E-4</v>
      </c>
      <c r="I616" s="40">
        <v>1.3947080411002024</v>
      </c>
      <c r="J616" s="59">
        <v>0</v>
      </c>
      <c r="K616" s="59">
        <v>6788.4707823395729</v>
      </c>
      <c r="L616" s="59">
        <v>0</v>
      </c>
      <c r="M616" s="11">
        <v>0.85654556751251221</v>
      </c>
      <c r="N616" s="11">
        <v>0.75693196058273315</v>
      </c>
      <c r="O616" s="11">
        <v>0.25077056884765625</v>
      </c>
      <c r="Q616" s="59">
        <v>14.764304552230085</v>
      </c>
      <c r="R616" s="78">
        <v>546.63450708290839</v>
      </c>
      <c r="S616" s="78">
        <v>14.815789548780261</v>
      </c>
      <c r="T616" s="78">
        <v>607.01994702518925</v>
      </c>
      <c r="U616" s="78">
        <v>5.1484996550176021E-2</v>
      </c>
      <c r="V616" s="78">
        <v>60.385439942280868</v>
      </c>
      <c r="Y616" s="28"/>
      <c r="Z616" s="28"/>
      <c r="AK616" s="28"/>
      <c r="AS616" s="28"/>
      <c r="AT616" s="28"/>
    </row>
    <row r="617" spans="3:46" x14ac:dyDescent="0.15">
      <c r="C617" s="11">
        <v>1.6148343682289124E-2</v>
      </c>
      <c r="D617" s="11">
        <v>8.558318018913269E-3</v>
      </c>
      <c r="E617" s="11">
        <v>0.14131959331046556</v>
      </c>
      <c r="F617" s="11">
        <v>0</v>
      </c>
      <c r="G617" s="11">
        <v>3.1035587191581726E-2</v>
      </c>
      <c r="H617" s="40">
        <v>6.243910097817715E-4</v>
      </c>
      <c r="I617" s="40">
        <v>1.3720089388997188</v>
      </c>
      <c r="J617" s="59">
        <v>0</v>
      </c>
      <c r="K617" s="59">
        <v>5657.1490131318569</v>
      </c>
      <c r="L617" s="59">
        <v>0</v>
      </c>
      <c r="M617" s="11">
        <v>0.88072264194488525</v>
      </c>
      <c r="N617" s="11">
        <v>0.65693187713623047</v>
      </c>
      <c r="O617" s="11">
        <v>0.27032327651977539</v>
      </c>
      <c r="Q617" s="59">
        <v>15.202867954600867</v>
      </c>
      <c r="R617" s="78">
        <v>524.85524798251765</v>
      </c>
      <c r="S617" s="78">
        <v>15.290716810751222</v>
      </c>
      <c r="T617" s="78">
        <v>597.80998507269237</v>
      </c>
      <c r="U617" s="78">
        <v>8.7848856150355203E-2</v>
      </c>
      <c r="V617" s="78">
        <v>72.954737090174717</v>
      </c>
      <c r="Y617" s="28"/>
      <c r="Z617" s="28"/>
      <c r="AK617" s="28"/>
      <c r="AS617" s="28"/>
      <c r="AT617" s="28"/>
    </row>
    <row r="618" spans="3:46" x14ac:dyDescent="0.15">
      <c r="C618" s="11">
        <v>4.4564604759216309E-3</v>
      </c>
      <c r="D618" s="11">
        <v>9.0099126100540161E-3</v>
      </c>
      <c r="E618" s="11">
        <v>0.29029969700485497</v>
      </c>
      <c r="F618" s="11">
        <v>0</v>
      </c>
      <c r="G618" s="11">
        <v>4.2497456073760986E-2</v>
      </c>
      <c r="H618" s="40">
        <v>3.5557920033149241E-4</v>
      </c>
      <c r="I618" s="40">
        <v>1.4443152381483653</v>
      </c>
      <c r="J618" s="59">
        <v>0</v>
      </c>
      <c r="K618" s="59">
        <v>6361.5292310714722</v>
      </c>
      <c r="L618" s="59">
        <v>0</v>
      </c>
      <c r="M618" s="11">
        <v>0.87942308187484741</v>
      </c>
      <c r="N618" s="11">
        <v>0.74065428972244263</v>
      </c>
      <c r="O618" s="11">
        <v>0.34129619598388672</v>
      </c>
      <c r="Q618" s="59">
        <v>15.411405028855961</v>
      </c>
      <c r="R618" s="78">
        <v>505.94903550526232</v>
      </c>
      <c r="S618" s="78">
        <v>15.448927403765795</v>
      </c>
      <c r="T618" s="78">
        <v>611.83247488624136</v>
      </c>
      <c r="U618" s="78">
        <v>3.75223749098339E-2</v>
      </c>
      <c r="V618" s="78">
        <v>105.88343938097904</v>
      </c>
      <c r="Y618" s="28"/>
      <c r="Z618" s="28"/>
      <c r="AK618" s="28"/>
      <c r="AS618" s="28"/>
      <c r="AT618" s="28"/>
    </row>
    <row r="619" spans="3:46" x14ac:dyDescent="0.15">
      <c r="C619" s="11">
        <v>4.0640532970428467E-2</v>
      </c>
      <c r="D619" s="11">
        <v>4.9087285995483398E-2</v>
      </c>
      <c r="E619" s="11">
        <v>0.20723593265765877</v>
      </c>
      <c r="F619" s="11">
        <v>0</v>
      </c>
      <c r="G619" s="11">
        <v>2.1291524171829224E-2</v>
      </c>
      <c r="H619" s="40">
        <v>4.9162092203186439E-4</v>
      </c>
      <c r="I619" s="40">
        <v>1.4298651246062846</v>
      </c>
      <c r="J619" s="59">
        <v>0</v>
      </c>
      <c r="K619" s="59">
        <v>5019.2628987133503</v>
      </c>
      <c r="L619" s="59">
        <v>0</v>
      </c>
      <c r="M619" s="11">
        <v>0.84471899271011353</v>
      </c>
      <c r="N619" s="11">
        <v>0.73647117614746094</v>
      </c>
      <c r="O619" s="11">
        <v>0.26716709136962891</v>
      </c>
      <c r="Q619" s="59">
        <v>14.246652307594772</v>
      </c>
      <c r="R619" s="78">
        <v>493.37234092672458</v>
      </c>
      <c r="S619" s="78">
        <v>14.300092637192886</v>
      </c>
      <c r="T619" s="78">
        <v>599.91163920469126</v>
      </c>
      <c r="U619" s="78">
        <v>5.3440329598114289E-2</v>
      </c>
      <c r="V619" s="78">
        <v>106.53929827796668</v>
      </c>
      <c r="Y619" s="28"/>
      <c r="Z619" s="28"/>
      <c r="AK619" s="28"/>
      <c r="AS619" s="28"/>
      <c r="AT619" s="28"/>
    </row>
    <row r="620" spans="3:46" x14ac:dyDescent="0.15">
      <c r="C620" s="11">
        <v>5.870819091796875E-3</v>
      </c>
      <c r="D620" s="11">
        <v>3.4726858139038086E-2</v>
      </c>
      <c r="E620" s="11">
        <v>0.23605559957264111</v>
      </c>
      <c r="F620" s="11">
        <v>0</v>
      </c>
      <c r="G620" s="11">
        <v>1.9921660423278809E-2</v>
      </c>
      <c r="H620" s="40">
        <v>4.506659561185732E-4</v>
      </c>
      <c r="I620" s="40">
        <v>1.4617553891590134</v>
      </c>
      <c r="J620" s="59">
        <v>0</v>
      </c>
      <c r="K620" s="59">
        <v>4594.9127525091171</v>
      </c>
      <c r="L620" s="59">
        <v>0</v>
      </c>
      <c r="M620" s="11">
        <v>0.84624564647674561</v>
      </c>
      <c r="N620" s="11">
        <v>0.7646796703338623</v>
      </c>
      <c r="O620" s="11">
        <v>0.25780761241912842</v>
      </c>
      <c r="Q620" s="59">
        <v>14.800981307259255</v>
      </c>
      <c r="R620" s="78">
        <v>488.34596641704906</v>
      </c>
      <c r="S620" s="78">
        <v>14.845799718719029</v>
      </c>
      <c r="T620" s="78">
        <v>601.61090273448099</v>
      </c>
      <c r="U620" s="78">
        <v>4.4818411459774055E-2</v>
      </c>
      <c r="V620" s="78">
        <v>113.26493631743193</v>
      </c>
      <c r="Y620" s="28"/>
      <c r="Z620" s="28"/>
      <c r="AK620" s="28"/>
      <c r="AS620" s="28"/>
      <c r="AT620" s="28"/>
    </row>
    <row r="621" spans="3:46" x14ac:dyDescent="0.15">
      <c r="C621" s="11">
        <v>1.5124678611755371E-3</v>
      </c>
      <c r="D621" s="11">
        <v>1.3769686222076416E-2</v>
      </c>
      <c r="E621" s="11">
        <v>0.29002318532391086</v>
      </c>
      <c r="F621" s="11">
        <v>0</v>
      </c>
      <c r="G621" s="11">
        <v>2.8849482536315918E-2</v>
      </c>
      <c r="H621" s="40">
        <v>2.8056120821580579E-4</v>
      </c>
      <c r="I621" s="40">
        <v>1.4648942136206706</v>
      </c>
      <c r="J621" s="59">
        <v>0</v>
      </c>
      <c r="K621" s="59">
        <v>5846.9711802899837</v>
      </c>
      <c r="L621" s="59">
        <v>0</v>
      </c>
      <c r="M621" s="11">
        <v>0.79143238067626953</v>
      </c>
      <c r="N621" s="11">
        <v>0.75854784250259399</v>
      </c>
      <c r="O621" s="11">
        <v>0.26042556762695312</v>
      </c>
      <c r="Q621" s="59">
        <v>13.934879373105263</v>
      </c>
      <c r="R621" s="78">
        <v>474.56041984418397</v>
      </c>
      <c r="S621" s="78">
        <v>13.951493137290514</v>
      </c>
      <c r="T621" s="78">
        <v>602.57089987863083</v>
      </c>
      <c r="U621" s="78">
        <v>1.6613764185251512E-2</v>
      </c>
      <c r="V621" s="78">
        <v>128.01048003444686</v>
      </c>
      <c r="Y621" s="28"/>
      <c r="Z621" s="28"/>
      <c r="AK621" s="28"/>
      <c r="AS621" s="28"/>
      <c r="AT621" s="28"/>
    </row>
    <row r="622" spans="3:46" x14ac:dyDescent="0.15">
      <c r="C622" s="11">
        <v>1.4810383319854736E-2</v>
      </c>
      <c r="D622" s="11">
        <v>1.3662829995155334E-2</v>
      </c>
      <c r="E622" s="11">
        <v>0.19381453114513131</v>
      </c>
      <c r="F622" s="11">
        <v>0</v>
      </c>
      <c r="G622" s="11">
        <v>2.9625803232192993E-2</v>
      </c>
      <c r="H622" s="40">
        <v>4.6588769487122155E-4</v>
      </c>
      <c r="I622" s="40">
        <v>1.4606836086484953</v>
      </c>
      <c r="J622" s="59">
        <v>0</v>
      </c>
      <c r="K622" s="59">
        <v>6915.433332324028</v>
      </c>
      <c r="L622" s="59">
        <v>0</v>
      </c>
      <c r="M622" s="11">
        <v>0.86903923749923706</v>
      </c>
      <c r="N622" s="11">
        <v>0.79710233211517334</v>
      </c>
      <c r="O622" s="11">
        <v>0.31790947914123535</v>
      </c>
      <c r="Q622" s="59">
        <v>15.071748123389247</v>
      </c>
      <c r="R622" s="78">
        <v>547.65025917199011</v>
      </c>
      <c r="S622" s="78">
        <v>15.112872208654693</v>
      </c>
      <c r="T622" s="78">
        <v>609.26831861906612</v>
      </c>
      <c r="U622" s="78">
        <v>4.1124085265446197E-2</v>
      </c>
      <c r="V622" s="78">
        <v>61.618059447076007</v>
      </c>
      <c r="Y622" s="28"/>
      <c r="Z622" s="28"/>
      <c r="AK622" s="28"/>
      <c r="AS622" s="28"/>
      <c r="AT622" s="28"/>
    </row>
    <row r="623" spans="3:46" x14ac:dyDescent="0.15">
      <c r="C623" s="11">
        <v>1.6435891389846802E-2</v>
      </c>
      <c r="D623" s="11">
        <v>1.6793966293334961E-2</v>
      </c>
      <c r="E623" s="11">
        <v>0.44675557700292406</v>
      </c>
      <c r="F623" s="11">
        <v>0</v>
      </c>
      <c r="G623" s="11">
        <v>2.81696617603302E-2</v>
      </c>
      <c r="H623" s="40">
        <v>5.3615738458116249E-4</v>
      </c>
      <c r="I623" s="40">
        <v>1.3878848531226866</v>
      </c>
      <c r="J623" s="59">
        <v>0</v>
      </c>
      <c r="K623" s="59">
        <v>4893.9534462988377</v>
      </c>
      <c r="L623" s="59">
        <v>0</v>
      </c>
      <c r="M623" s="11">
        <v>0.84510612487792969</v>
      </c>
      <c r="N623" s="11">
        <v>0.71774983406066895</v>
      </c>
      <c r="O623" s="11">
        <v>0.3362652063369751</v>
      </c>
      <c r="Q623" s="59">
        <v>14.620065948119763</v>
      </c>
      <c r="R623" s="78">
        <v>494.20629082399216</v>
      </c>
      <c r="S623" s="78">
        <v>14.65415391217968</v>
      </c>
      <c r="T623" s="78">
        <v>624.21652826007517</v>
      </c>
      <c r="U623" s="78">
        <v>3.4087964059917653E-2</v>
      </c>
      <c r="V623" s="78">
        <v>130.010237436083</v>
      </c>
      <c r="Y623" s="28"/>
      <c r="Z623" s="28"/>
      <c r="AK623" s="28"/>
      <c r="AS623" s="28"/>
      <c r="AT623" s="28"/>
    </row>
    <row r="624" spans="3:46" x14ac:dyDescent="0.15">
      <c r="C624" s="11">
        <v>9.8585039377212524E-3</v>
      </c>
      <c r="D624" s="11">
        <v>8.0067962408065796E-3</v>
      </c>
      <c r="E624" s="11">
        <v>0.38666834746220219</v>
      </c>
      <c r="F624" s="11">
        <v>0</v>
      </c>
      <c r="G624" s="11">
        <v>4.1263192892074585E-2</v>
      </c>
      <c r="H624" s="40">
        <v>3.464100129524906E-4</v>
      </c>
      <c r="I624" s="40">
        <v>1.474346890092608</v>
      </c>
      <c r="J624" s="59">
        <v>0</v>
      </c>
      <c r="K624" s="59">
        <v>5268.9714357256889</v>
      </c>
      <c r="L624" s="59">
        <v>0</v>
      </c>
      <c r="M624" s="11">
        <v>0.85897451639175415</v>
      </c>
      <c r="N624" s="11">
        <v>0.79906642436981201</v>
      </c>
      <c r="O624" s="11">
        <v>0.26619422435760498</v>
      </c>
      <c r="Q624" s="59">
        <v>14.984261356900211</v>
      </c>
      <c r="R624" s="78">
        <v>491.41068871169205</v>
      </c>
      <c r="S624" s="78">
        <v>15.00783709158439</v>
      </c>
      <c r="T624" s="78">
        <v>617.02712824030675</v>
      </c>
      <c r="U624" s="78">
        <v>2.3575734684179395E-2</v>
      </c>
      <c r="V624" s="78">
        <v>125.61643952861471</v>
      </c>
      <c r="Y624" s="28"/>
      <c r="Z624" s="28"/>
      <c r="AK624" s="28"/>
      <c r="AS624" s="28"/>
      <c r="AT624" s="28"/>
    </row>
    <row r="625" spans="3:46" x14ac:dyDescent="0.15">
      <c r="C625" s="11">
        <v>2.3015528917312622E-2</v>
      </c>
      <c r="D625" s="11">
        <v>1.7850622534751892E-2</v>
      </c>
      <c r="E625" s="11">
        <v>0.32158810630278256</v>
      </c>
      <c r="F625" s="11">
        <v>0</v>
      </c>
      <c r="G625" s="11">
        <v>4.3263703584671021E-2</v>
      </c>
      <c r="H625" s="40">
        <v>5.5448269719055683E-4</v>
      </c>
      <c r="I625" s="40">
        <v>1.3088538618754699</v>
      </c>
      <c r="J625" s="59">
        <v>0</v>
      </c>
      <c r="K625" s="59">
        <v>6061.007734388113</v>
      </c>
      <c r="L625" s="59">
        <v>0</v>
      </c>
      <c r="M625" s="11">
        <v>0.85055500268936157</v>
      </c>
      <c r="N625" s="11">
        <v>0.80261623859405518</v>
      </c>
      <c r="O625" s="11">
        <v>0.25903153419494629</v>
      </c>
      <c r="Q625" s="59">
        <v>14.641170126462336</v>
      </c>
      <c r="R625" s="78">
        <v>504.01183480341331</v>
      </c>
      <c r="S625" s="78">
        <v>14.666063133797364</v>
      </c>
      <c r="T625" s="78">
        <v>614.71614367489838</v>
      </c>
      <c r="U625" s="78">
        <v>2.4893007335027306E-2</v>
      </c>
      <c r="V625" s="78">
        <v>110.70430887148507</v>
      </c>
      <c r="Y625" s="28"/>
      <c r="Z625" s="28"/>
      <c r="AK625" s="28"/>
      <c r="AS625" s="28"/>
      <c r="AT625" s="28"/>
    </row>
    <row r="626" spans="3:46" x14ac:dyDescent="0.15">
      <c r="C626" s="11">
        <v>3.4005105495452881E-2</v>
      </c>
      <c r="D626" s="11">
        <v>2.9948055744171143E-2</v>
      </c>
      <c r="E626" s="11">
        <v>0.42705236691858595</v>
      </c>
      <c r="F626" s="11">
        <v>0</v>
      </c>
      <c r="G626" s="11">
        <v>3.3949971199035645E-2</v>
      </c>
      <c r="H626" s="40">
        <v>4.581520099831382E-4</v>
      </c>
      <c r="I626" s="40">
        <v>1.4052891109004348</v>
      </c>
      <c r="J626" s="59">
        <v>0</v>
      </c>
      <c r="K626" s="59">
        <v>3690.1002749800682</v>
      </c>
      <c r="L626" s="59">
        <v>0</v>
      </c>
      <c r="M626" s="11">
        <v>0.86639690399169922</v>
      </c>
      <c r="N626" s="11">
        <v>0.71854698657989502</v>
      </c>
      <c r="O626" s="11">
        <v>0.30804193019866943</v>
      </c>
      <c r="Q626" s="59">
        <v>14.717162318164203</v>
      </c>
      <c r="R626" s="78">
        <v>462.78232680867296</v>
      </c>
      <c r="S626" s="78">
        <v>14.754737340677734</v>
      </c>
      <c r="T626" s="78">
        <v>608.64928738354843</v>
      </c>
      <c r="U626" s="78">
        <v>3.7575022513530953E-2</v>
      </c>
      <c r="V626" s="78">
        <v>145.86696057487546</v>
      </c>
      <c r="Y626" s="28"/>
      <c r="Z626" s="28"/>
      <c r="AK626" s="28"/>
      <c r="AS626" s="28"/>
      <c r="AT626" s="28"/>
    </row>
    <row r="627" spans="3:46" x14ac:dyDescent="0.15">
      <c r="C627" s="11">
        <v>1.3207778334617615E-2</v>
      </c>
      <c r="D627" s="11">
        <v>2.9017329216003418E-2</v>
      </c>
      <c r="E627" s="11">
        <v>0.26295056067250644</v>
      </c>
      <c r="F627" s="11">
        <v>0</v>
      </c>
      <c r="G627" s="11">
        <v>3.0278891324996948E-2</v>
      </c>
      <c r="H627" s="40">
        <v>6.3754132540822547E-4</v>
      </c>
      <c r="I627" s="40">
        <v>1.4190228428598546</v>
      </c>
      <c r="J627" s="59">
        <v>0</v>
      </c>
      <c r="K627" s="59">
        <v>4166.0154238343239</v>
      </c>
      <c r="L627" s="59">
        <v>0</v>
      </c>
      <c r="M627" s="11">
        <v>0.82298314571380615</v>
      </c>
      <c r="N627" s="11">
        <v>0.7660791277885437</v>
      </c>
      <c r="O627" s="11">
        <v>0.30571258068084717</v>
      </c>
      <c r="Q627" s="59">
        <v>14.285094034562718</v>
      </c>
      <c r="R627" s="78">
        <v>505.87945327995664</v>
      </c>
      <c r="S627" s="78">
        <v>14.328794333868467</v>
      </c>
      <c r="T627" s="78">
        <v>608.93973620635495</v>
      </c>
      <c r="U627" s="78">
        <v>4.3700299305749368E-2</v>
      </c>
      <c r="V627" s="78">
        <v>103.06028292639832</v>
      </c>
      <c r="Y627" s="28"/>
      <c r="Z627" s="28"/>
      <c r="AK627" s="28"/>
      <c r="AS627" s="28"/>
      <c r="AT627" s="28"/>
    </row>
    <row r="628" spans="3:46" x14ac:dyDescent="0.15">
      <c r="C628" s="11">
        <v>2.9695630073547363E-2</v>
      </c>
      <c r="D628" s="11">
        <v>6.1426609754562378E-3</v>
      </c>
      <c r="E628" s="11">
        <v>0.62916624196774151</v>
      </c>
      <c r="F628" s="11">
        <v>0</v>
      </c>
      <c r="G628" s="11">
        <v>8.8271617889404297E-2</v>
      </c>
      <c r="H628" s="40">
        <v>4.5356378877873675E-4</v>
      </c>
      <c r="I628" s="40">
        <v>1.4142583663514765</v>
      </c>
      <c r="J628" s="59">
        <v>0</v>
      </c>
      <c r="K628" s="59">
        <v>2562.0311498641968</v>
      </c>
      <c r="L628" s="59">
        <v>0</v>
      </c>
      <c r="M628" s="11">
        <v>0.86016297340393066</v>
      </c>
      <c r="N628" s="11">
        <v>0.66577768325805664</v>
      </c>
      <c r="O628" s="11">
        <v>0.32606643438339233</v>
      </c>
      <c r="Q628" s="59">
        <v>14.664659594718735</v>
      </c>
      <c r="R628" s="78">
        <v>456.73058785847945</v>
      </c>
      <c r="S628" s="78">
        <v>14.693142063329757</v>
      </c>
      <c r="T628" s="78">
        <v>618.70162831775701</v>
      </c>
      <c r="U628" s="78">
        <v>2.8482468611022327E-2</v>
      </c>
      <c r="V628" s="78">
        <v>161.97104045927756</v>
      </c>
      <c r="Y628" s="28"/>
      <c r="Z628" s="28"/>
      <c r="AK628" s="28"/>
      <c r="AS628" s="28"/>
      <c r="AT628" s="28"/>
    </row>
    <row r="629" spans="3:46" x14ac:dyDescent="0.15">
      <c r="C629" s="11">
        <v>4.5154213905334473E-2</v>
      </c>
      <c r="D629" s="11">
        <v>1.1659547686576843E-2</v>
      </c>
      <c r="E629" s="11">
        <v>0.32953396626479786</v>
      </c>
      <c r="F629" s="11">
        <v>0</v>
      </c>
      <c r="G629" s="11">
        <v>4.1219532489776611E-2</v>
      </c>
      <c r="H629" s="40">
        <v>5.4085248238440952E-4</v>
      </c>
      <c r="I629" s="40">
        <v>1.4163211889606879</v>
      </c>
      <c r="J629" s="59">
        <v>0</v>
      </c>
      <c r="K629" s="59">
        <v>4212.4255560338497</v>
      </c>
      <c r="L629" s="59">
        <v>0</v>
      </c>
      <c r="M629" s="11">
        <v>0.85016196966171265</v>
      </c>
      <c r="N629" s="11">
        <v>0.71642005443572998</v>
      </c>
      <c r="O629" s="11">
        <v>0.31941837072372437</v>
      </c>
      <c r="Q629" s="59">
        <v>14.269403751998041</v>
      </c>
      <c r="R629" s="78">
        <v>492.37609629650819</v>
      </c>
      <c r="S629" s="78">
        <v>14.315598026580618</v>
      </c>
      <c r="T629" s="78">
        <v>611.85177639547305</v>
      </c>
      <c r="U629" s="78">
        <v>4.6194274582576966E-2</v>
      </c>
      <c r="V629" s="78">
        <v>119.47568009896486</v>
      </c>
      <c r="Y629" s="28"/>
      <c r="Z629" s="28"/>
      <c r="AK629" s="28"/>
      <c r="AS629" s="28"/>
      <c r="AT629" s="28"/>
    </row>
    <row r="630" spans="3:46" x14ac:dyDescent="0.15">
      <c r="C630" s="11">
        <v>1.5638947486877441E-2</v>
      </c>
      <c r="D630" s="11">
        <v>2.9759258031845093E-2</v>
      </c>
      <c r="E630" s="11">
        <v>0.14039440763980196</v>
      </c>
      <c r="F630" s="11">
        <v>0</v>
      </c>
      <c r="G630" s="11">
        <v>3.0005186796188354E-2</v>
      </c>
      <c r="H630" s="40">
        <v>4.378347219346888E-4</v>
      </c>
      <c r="I630" s="40">
        <v>1.4668712799359431</v>
      </c>
      <c r="J630" s="59">
        <v>0</v>
      </c>
      <c r="K630" s="59">
        <v>5968.8044711947441</v>
      </c>
      <c r="L630" s="59">
        <v>0</v>
      </c>
      <c r="M630" s="11">
        <v>0.87323346734046936</v>
      </c>
      <c r="N630" s="11">
        <v>0.7352292537689209</v>
      </c>
      <c r="O630" s="11">
        <v>0.26163887977600098</v>
      </c>
      <c r="Q630" s="59">
        <v>15.10722167563581</v>
      </c>
      <c r="R630" s="78">
        <v>520.75549402767899</v>
      </c>
      <c r="S630" s="78">
        <v>15.172332947833993</v>
      </c>
      <c r="T630" s="78">
        <v>597.09518968483519</v>
      </c>
      <c r="U630" s="78">
        <v>6.5111272198183912E-2</v>
      </c>
      <c r="V630" s="78">
        <v>76.339695657156199</v>
      </c>
      <c r="Y630" s="28"/>
      <c r="Z630" s="28"/>
      <c r="AK630" s="28"/>
      <c r="AS630" s="28"/>
      <c r="AT630" s="28"/>
    </row>
    <row r="631" spans="3:46" x14ac:dyDescent="0.15">
      <c r="C631" s="11">
        <v>4.8411369323730469E-2</v>
      </c>
      <c r="D631" s="11">
        <v>4.7561526298522949E-3</v>
      </c>
      <c r="E631" s="11">
        <v>0.24782492688829066</v>
      </c>
      <c r="F631" s="11">
        <v>0</v>
      </c>
      <c r="G631" s="11">
        <v>4.0307551622390747E-2</v>
      </c>
      <c r="H631" s="40">
        <v>5.8008720056733289E-4</v>
      </c>
      <c r="I631" s="40">
        <v>1.4604048554497517</v>
      </c>
      <c r="J631" s="59">
        <v>0</v>
      </c>
      <c r="K631" s="59">
        <v>2243.4443235397339</v>
      </c>
      <c r="L631" s="59">
        <v>0</v>
      </c>
      <c r="M631" s="11">
        <v>0.84442365169525146</v>
      </c>
      <c r="N631" s="11">
        <v>0.77915060520172119</v>
      </c>
      <c r="O631" s="11">
        <v>0.28190672397613525</v>
      </c>
      <c r="Q631" s="59">
        <v>14.135645318788171</v>
      </c>
      <c r="R631" s="78">
        <v>457.23643784206922</v>
      </c>
      <c r="S631" s="78">
        <v>14.178808075559054</v>
      </c>
      <c r="T631" s="78">
        <v>594.96605002698016</v>
      </c>
      <c r="U631" s="78">
        <v>4.3162756770882993E-2</v>
      </c>
      <c r="V631" s="78">
        <v>137.72961218491093</v>
      </c>
      <c r="Y631" s="28"/>
      <c r="Z631" s="28"/>
      <c r="AK631" s="28"/>
      <c r="AS631" s="28"/>
      <c r="AT631" s="28"/>
    </row>
    <row r="632" spans="3:46" x14ac:dyDescent="0.15">
      <c r="C632" s="11">
        <v>1.7814695835113525E-2</v>
      </c>
      <c r="D632" s="11">
        <v>5.9614181518554688E-2</v>
      </c>
      <c r="E632" s="11">
        <v>0.28374029699096065</v>
      </c>
      <c r="F632" s="11">
        <v>0</v>
      </c>
      <c r="G632" s="11">
        <v>4.0562659502029419E-2</v>
      </c>
      <c r="H632" s="40">
        <v>4.5160651705076273E-4</v>
      </c>
      <c r="I632" s="40">
        <v>1.4180381585189648</v>
      </c>
      <c r="J632" s="59">
        <v>0</v>
      </c>
      <c r="K632" s="59">
        <v>4920.7056872546673</v>
      </c>
      <c r="L632" s="59">
        <v>0</v>
      </c>
      <c r="M632" s="11">
        <v>0.84924989938735962</v>
      </c>
      <c r="N632" s="11">
        <v>0.70445561408996582</v>
      </c>
      <c r="O632" s="11">
        <v>0.23226022720336914</v>
      </c>
      <c r="Q632" s="59">
        <v>14.655028882886288</v>
      </c>
      <c r="R632" s="78">
        <v>491.87012515080943</v>
      </c>
      <c r="S632" s="78">
        <v>14.71097136008734</v>
      </c>
      <c r="T632" s="78">
        <v>607.10448587442397</v>
      </c>
      <c r="U632" s="78">
        <v>5.5942477201051943E-2</v>
      </c>
      <c r="V632" s="78">
        <v>115.23436072361454</v>
      </c>
      <c r="Y632" s="28"/>
      <c r="Z632" s="28"/>
      <c r="AK632" s="28"/>
      <c r="AS632" s="28"/>
      <c r="AT632" s="28"/>
    </row>
    <row r="633" spans="3:46" x14ac:dyDescent="0.15">
      <c r="C633" s="11">
        <v>7.2621256113052368E-3</v>
      </c>
      <c r="D633" s="11">
        <v>5.4987519979476929E-3</v>
      </c>
      <c r="E633" s="11">
        <v>0.31809933861945749</v>
      </c>
      <c r="F633" s="11">
        <v>0</v>
      </c>
      <c r="G633" s="11">
        <v>2.5244355201721191E-2</v>
      </c>
      <c r="H633" s="40">
        <v>4.4625454506764308E-4</v>
      </c>
      <c r="I633" s="40">
        <v>1.4569437095186257</v>
      </c>
      <c r="J633" s="59">
        <v>0</v>
      </c>
      <c r="K633" s="59">
        <v>5962.6554138958454</v>
      </c>
      <c r="L633" s="59">
        <v>0</v>
      </c>
      <c r="M633" s="11">
        <v>0.8055959939956665</v>
      </c>
      <c r="N633" s="11">
        <v>0.73647868633270264</v>
      </c>
      <c r="O633" s="11">
        <v>0.32199198007583618</v>
      </c>
      <c r="Q633" s="59">
        <v>14.08427818662471</v>
      </c>
      <c r="R633" s="78">
        <v>517.71775820216317</v>
      </c>
      <c r="S633" s="78">
        <v>14.11277279743465</v>
      </c>
      <c r="T633" s="78">
        <v>618.8722367632455</v>
      </c>
      <c r="U633" s="78">
        <v>2.8494610809939758E-2</v>
      </c>
      <c r="V633" s="78">
        <v>101.15447856108233</v>
      </c>
      <c r="Y633" s="28"/>
      <c r="Z633" s="28"/>
      <c r="AK633" s="28"/>
      <c r="AS633" s="28"/>
      <c r="AT633" s="28"/>
    </row>
    <row r="634" spans="3:46" x14ac:dyDescent="0.15">
      <c r="C634" s="11">
        <v>1.4672428369522095E-2</v>
      </c>
      <c r="D634" s="11">
        <v>1.5736117959022522E-2</v>
      </c>
      <c r="E634" s="11">
        <v>0.14543221983543844</v>
      </c>
      <c r="F634" s="11">
        <v>0</v>
      </c>
      <c r="G634" s="11">
        <v>1.7777919769287109E-2</v>
      </c>
      <c r="H634" s="40">
        <v>5.1282084972362988E-4</v>
      </c>
      <c r="I634" s="40">
        <v>1.4602291847513171</v>
      </c>
      <c r="J634" s="59">
        <v>0</v>
      </c>
      <c r="K634" s="59">
        <v>4857.329186052084</v>
      </c>
      <c r="L634" s="59">
        <v>0</v>
      </c>
      <c r="M634" s="11">
        <v>0.87261337041854858</v>
      </c>
      <c r="N634" s="11">
        <v>0.70302164554595947</v>
      </c>
      <c r="O634" s="11">
        <v>0.33084708452224731</v>
      </c>
      <c r="Q634" s="59">
        <v>15.099243103767533</v>
      </c>
      <c r="R634" s="78">
        <v>504.56223448253348</v>
      </c>
      <c r="S634" s="78">
        <v>15.174235240946205</v>
      </c>
      <c r="T634" s="78">
        <v>595.39125559913703</v>
      </c>
      <c r="U634" s="78">
        <v>7.4992137178671925E-2</v>
      </c>
      <c r="V634" s="78">
        <v>90.829021116603542</v>
      </c>
      <c r="Y634" s="28"/>
      <c r="Z634" s="28"/>
      <c r="AK634" s="28"/>
      <c r="AS634" s="28"/>
      <c r="AT634" s="28"/>
    </row>
    <row r="635" spans="3:46" x14ac:dyDescent="0.15">
      <c r="C635" s="11">
        <v>5.967751145362854E-3</v>
      </c>
      <c r="D635" s="11">
        <v>5.7117938995361328E-3</v>
      </c>
      <c r="E635" s="11">
        <v>0.44981957830441566</v>
      </c>
      <c r="F635" s="11">
        <v>0</v>
      </c>
      <c r="G635" s="11">
        <v>5.279850959777832E-2</v>
      </c>
      <c r="H635" s="40">
        <v>3.8709200955256974E-4</v>
      </c>
      <c r="I635" s="40">
        <v>1.5093091092210025</v>
      </c>
      <c r="J635" s="59">
        <v>0</v>
      </c>
      <c r="K635" s="59">
        <v>6854.059174656868</v>
      </c>
      <c r="L635" s="59">
        <v>0</v>
      </c>
      <c r="M635" s="11">
        <v>0.8736385703086853</v>
      </c>
      <c r="N635" s="11">
        <v>0.69882392883300781</v>
      </c>
      <c r="O635" s="11">
        <v>0.32649838924407959</v>
      </c>
      <c r="Q635" s="59">
        <v>15.258198140087211</v>
      </c>
      <c r="R635" s="78">
        <v>560.07336778392539</v>
      </c>
      <c r="S635" s="78">
        <v>15.302471207044555</v>
      </c>
      <c r="T635" s="78">
        <v>654.50479334414422</v>
      </c>
      <c r="U635" s="78">
        <v>4.4273066957343232E-2</v>
      </c>
      <c r="V635" s="78">
        <v>94.431425560218827</v>
      </c>
      <c r="Y635" s="28"/>
      <c r="Z635" s="28"/>
      <c r="AK635" s="28"/>
      <c r="AS635" s="28"/>
      <c r="AT635" s="28"/>
    </row>
    <row r="636" spans="3:46" x14ac:dyDescent="0.15">
      <c r="C636" s="11">
        <v>7.0054382085800171E-3</v>
      </c>
      <c r="D636" s="11">
        <v>9.0101361274719238E-3</v>
      </c>
      <c r="E636" s="11">
        <v>0.193908912574315</v>
      </c>
      <c r="F636" s="11">
        <v>0</v>
      </c>
      <c r="G636" s="11">
        <v>4.1710466146469116E-2</v>
      </c>
      <c r="H636" s="40">
        <v>4.7636990639068059E-4</v>
      </c>
      <c r="I636" s="40">
        <v>1.4716565217240654</v>
      </c>
      <c r="J636" s="59">
        <v>0</v>
      </c>
      <c r="K636" s="59">
        <v>6991.5084168314934</v>
      </c>
      <c r="L636" s="59">
        <v>0</v>
      </c>
      <c r="M636" s="11">
        <v>0.83961427211761475</v>
      </c>
      <c r="N636" s="11">
        <v>0.71792948246002197</v>
      </c>
      <c r="O636" s="11">
        <v>0.31116035580635071</v>
      </c>
      <c r="Q636" s="59">
        <v>14.656577897662926</v>
      </c>
      <c r="R636" s="78">
        <v>570.22128467654056</v>
      </c>
      <c r="S636" s="78">
        <v>14.712829092530377</v>
      </c>
      <c r="T636" s="78">
        <v>613.75905659331909</v>
      </c>
      <c r="U636" s="78">
        <v>5.6251194867451559E-2</v>
      </c>
      <c r="V636" s="78">
        <v>43.537771916778524</v>
      </c>
      <c r="Y636" s="28"/>
      <c r="Z636" s="28"/>
      <c r="AK636" s="28"/>
      <c r="AS636" s="28"/>
      <c r="AT636" s="28"/>
    </row>
    <row r="637" spans="3:46" x14ac:dyDescent="0.15">
      <c r="C637" s="11">
        <v>5.306243896484375E-2</v>
      </c>
      <c r="D637" s="11">
        <v>1.53704434633255E-2</v>
      </c>
      <c r="E637" s="11">
        <v>0.26135010672114872</v>
      </c>
      <c r="F637" s="11">
        <v>0</v>
      </c>
      <c r="G637" s="11">
        <v>3.0682861804962158E-2</v>
      </c>
      <c r="H637" s="40">
        <v>4.3990500774324071E-4</v>
      </c>
      <c r="I637" s="40">
        <v>1.4653055861511142</v>
      </c>
      <c r="J637" s="59">
        <v>0</v>
      </c>
      <c r="K637" s="59">
        <v>5551.1342361569405</v>
      </c>
      <c r="L637" s="59">
        <v>0</v>
      </c>
      <c r="M637" s="11">
        <v>0.81892669200897217</v>
      </c>
      <c r="N637" s="11">
        <v>0.76304638385772705</v>
      </c>
      <c r="O637" s="11">
        <v>0.2631300687789917</v>
      </c>
      <c r="Q637" s="59">
        <v>13.65443161339787</v>
      </c>
      <c r="R637" s="78">
        <v>508.18020098715249</v>
      </c>
      <c r="S637" s="78">
        <v>13.68613643705099</v>
      </c>
      <c r="T637" s="78">
        <v>609.27059731421321</v>
      </c>
      <c r="U637" s="78">
        <v>3.1704823653120329E-2</v>
      </c>
      <c r="V637" s="78">
        <v>101.09039632706072</v>
      </c>
      <c r="Y637" s="28"/>
      <c r="Z637" s="28"/>
      <c r="AK637" s="28"/>
      <c r="AS637" s="28"/>
      <c r="AT637" s="28"/>
    </row>
    <row r="638" spans="3:46" x14ac:dyDescent="0.15">
      <c r="C638" s="11">
        <v>2.022068202495575E-2</v>
      </c>
      <c r="D638" s="11">
        <v>2.2307455539703369E-2</v>
      </c>
      <c r="E638" s="11">
        <v>0.21879548665628604</v>
      </c>
      <c r="F638" s="11">
        <v>0</v>
      </c>
      <c r="G638" s="11">
        <v>2.4557143449783325E-2</v>
      </c>
      <c r="H638" s="40">
        <v>4.0937580736923626E-4</v>
      </c>
      <c r="I638" s="40">
        <v>1.5045346973070099</v>
      </c>
      <c r="J638" s="59">
        <v>0</v>
      </c>
      <c r="K638" s="59">
        <v>6123.4831809997559</v>
      </c>
      <c r="L638" s="59">
        <v>0</v>
      </c>
      <c r="M638" s="11">
        <v>0.86820691823959351</v>
      </c>
      <c r="N638" s="11">
        <v>0.71740615367889404</v>
      </c>
      <c r="O638" s="11">
        <v>0.34147512912750244</v>
      </c>
      <c r="Q638" s="59">
        <v>14.94920657449204</v>
      </c>
      <c r="R638" s="78">
        <v>525.24550477290461</v>
      </c>
      <c r="S638" s="78">
        <v>15.008532857800017</v>
      </c>
      <c r="T638" s="78">
        <v>608.18640660183337</v>
      </c>
      <c r="U638" s="78">
        <v>5.9326283307976624E-2</v>
      </c>
      <c r="V638" s="78">
        <v>82.940901828928759</v>
      </c>
      <c r="Y638" s="28"/>
      <c r="Z638" s="28"/>
      <c r="AK638" s="28"/>
      <c r="AS638" s="28"/>
      <c r="AT638" s="28"/>
    </row>
    <row r="639" spans="3:46" x14ac:dyDescent="0.15">
      <c r="C639" s="11">
        <v>9.698331356048584E-3</v>
      </c>
      <c r="D639" s="11">
        <v>1.593819260597229E-2</v>
      </c>
      <c r="E639" s="11">
        <v>0.15055354384692854</v>
      </c>
      <c r="F639" s="11">
        <v>0</v>
      </c>
      <c r="G639" s="11">
        <v>1.2425422668457031E-2</v>
      </c>
      <c r="H639" s="40">
        <v>4.1868261017371952E-4</v>
      </c>
      <c r="I639" s="40">
        <v>1.5408500165376038</v>
      </c>
      <c r="J639" s="59">
        <v>0</v>
      </c>
      <c r="K639" s="59">
        <v>4212.6933112740517</v>
      </c>
      <c r="L639" s="59">
        <v>0</v>
      </c>
      <c r="M639" s="11">
        <v>0.81522679328918457</v>
      </c>
      <c r="N639" s="11">
        <v>0.7924654483795166</v>
      </c>
      <c r="O639" s="11">
        <v>0.30717027187347412</v>
      </c>
      <c r="Q639" s="59">
        <v>14.223928084041857</v>
      </c>
      <c r="R639" s="78">
        <v>490.47987483974981</v>
      </c>
      <c r="S639" s="78">
        <v>14.254569115707096</v>
      </c>
      <c r="T639" s="78">
        <v>593.83100504562651</v>
      </c>
      <c r="U639" s="78">
        <v>3.0641031665238572E-2</v>
      </c>
      <c r="V639" s="78">
        <v>103.3511302058767</v>
      </c>
      <c r="Y639" s="28"/>
      <c r="Z639" s="28"/>
      <c r="AK639" s="28"/>
      <c r="AS639" s="28"/>
      <c r="AT639" s="28"/>
    </row>
    <row r="640" spans="3:46" x14ac:dyDescent="0.15">
      <c r="C640" s="11">
        <v>4.3203473091125488E-2</v>
      </c>
      <c r="D640" s="11">
        <v>1.3237655162811279E-2</v>
      </c>
      <c r="E640" s="11">
        <v>0.23920839497758606</v>
      </c>
      <c r="F640" s="11">
        <v>0</v>
      </c>
      <c r="G640" s="11">
        <v>1.606065034866333E-2</v>
      </c>
      <c r="H640" s="40">
        <v>5.1513252101376703E-4</v>
      </c>
      <c r="I640" s="40">
        <v>1.4015750561249039</v>
      </c>
      <c r="J640" s="59">
        <v>0</v>
      </c>
      <c r="K640" s="59">
        <v>4772.1061855554581</v>
      </c>
      <c r="L640" s="59">
        <v>0</v>
      </c>
      <c r="M640" s="11">
        <v>0.84572023153305054</v>
      </c>
      <c r="N640" s="11">
        <v>0.7957996129989624</v>
      </c>
      <c r="O640" s="11">
        <v>0.26131153106689453</v>
      </c>
      <c r="Q640" s="59">
        <v>14.25443642720054</v>
      </c>
      <c r="R640" s="78">
        <v>482.57087477957992</v>
      </c>
      <c r="S640" s="78">
        <v>14.28365900497408</v>
      </c>
      <c r="T640" s="78">
        <v>600.48651866268699</v>
      </c>
      <c r="U640" s="78">
        <v>2.9222577773539982E-2</v>
      </c>
      <c r="V640" s="78">
        <v>117.91564388310707</v>
      </c>
      <c r="Y640" s="28"/>
      <c r="Z640" s="28"/>
      <c r="AK640" s="28"/>
      <c r="AS640" s="28"/>
      <c r="AT640" s="28"/>
    </row>
    <row r="641" spans="3:46" x14ac:dyDescent="0.15">
      <c r="C641" s="11">
        <v>5.1507711410522461E-2</v>
      </c>
      <c r="D641" s="11">
        <v>1.8301308155059814E-2</v>
      </c>
      <c r="E641" s="11">
        <v>0.32850595131174526</v>
      </c>
      <c r="F641" s="11">
        <v>0</v>
      </c>
      <c r="G641" s="11">
        <v>6.9471478462219238E-2</v>
      </c>
      <c r="H641" s="40">
        <v>3.902476454169396E-4</v>
      </c>
      <c r="I641" s="40">
        <v>1.4980587655509017</v>
      </c>
      <c r="J641" s="59">
        <v>0</v>
      </c>
      <c r="K641" s="59">
        <v>7740.166038274765</v>
      </c>
      <c r="L641" s="59">
        <v>0</v>
      </c>
      <c r="M641" s="11">
        <v>0.87188488245010376</v>
      </c>
      <c r="N641" s="11">
        <v>0.68322515487670898</v>
      </c>
      <c r="O641" s="11">
        <v>0.31856685876846313</v>
      </c>
      <c r="Q641" s="59">
        <v>14.522175601003147</v>
      </c>
      <c r="R641" s="78">
        <v>581.09430384093662</v>
      </c>
      <c r="S641" s="78">
        <v>14.578967284346861</v>
      </c>
      <c r="T641" s="78">
        <v>641.23437086770116</v>
      </c>
      <c r="U641" s="78">
        <v>5.6791683343714539E-2</v>
      </c>
      <c r="V641" s="78">
        <v>60.140067026764541</v>
      </c>
      <c r="Y641" s="28"/>
      <c r="Z641" s="28"/>
      <c r="AK641" s="28"/>
      <c r="AS641" s="28"/>
      <c r="AT641" s="28"/>
    </row>
    <row r="642" spans="3:46" x14ac:dyDescent="0.15">
      <c r="C642" s="11">
        <v>1.0692298412322998E-2</v>
      </c>
      <c r="D642" s="11">
        <v>3.5773038864135742E-2</v>
      </c>
      <c r="E642" s="11">
        <v>0.18106202287109655</v>
      </c>
      <c r="F642" s="11">
        <v>0</v>
      </c>
      <c r="G642" s="11">
        <v>3.9325147867202759E-2</v>
      </c>
      <c r="H642" s="40">
        <v>4.4951794041746067E-4</v>
      </c>
      <c r="I642" s="40">
        <v>1.4740774571389514</v>
      </c>
      <c r="J642" s="59">
        <v>0</v>
      </c>
      <c r="K642" s="59">
        <v>6508.1426873803139</v>
      </c>
      <c r="L642" s="59">
        <v>0</v>
      </c>
      <c r="M642" s="11">
        <v>0.86784833669662476</v>
      </c>
      <c r="N642" s="11">
        <v>0.74857860803604126</v>
      </c>
      <c r="O642" s="11">
        <v>0.32584083080291748</v>
      </c>
      <c r="Q642" s="59">
        <v>15.090727559629512</v>
      </c>
      <c r="R642" s="78">
        <v>546.49342617665411</v>
      </c>
      <c r="S642" s="78">
        <v>15.151621651624019</v>
      </c>
      <c r="T642" s="78">
        <v>607.07214061660875</v>
      </c>
      <c r="U642" s="78">
        <v>6.0894091994507349E-2</v>
      </c>
      <c r="V642" s="78">
        <v>60.578714439954638</v>
      </c>
      <c r="Y642" s="28"/>
      <c r="Z642" s="28"/>
      <c r="AK642" s="28"/>
      <c r="AS642" s="28"/>
      <c r="AT642" s="28"/>
    </row>
    <row r="643" spans="3:46" x14ac:dyDescent="0.15">
      <c r="C643" s="11">
        <v>1.9653230905532837E-2</v>
      </c>
      <c r="D643" s="11">
        <v>1.2968897819519043E-2</v>
      </c>
      <c r="E643" s="11">
        <v>0.42369504352825016</v>
      </c>
      <c r="F643" s="11">
        <v>0</v>
      </c>
      <c r="G643" s="11">
        <v>2.5320440530776978E-2</v>
      </c>
      <c r="H643" s="40">
        <v>6.2768918876963953E-4</v>
      </c>
      <c r="I643" s="40">
        <v>1.4263814036983222</v>
      </c>
      <c r="J643" s="59">
        <v>0</v>
      </c>
      <c r="K643" s="59">
        <v>5801.0965585708618</v>
      </c>
      <c r="L643" s="59">
        <v>0</v>
      </c>
      <c r="M643" s="11">
        <v>0.8799511194229126</v>
      </c>
      <c r="N643" s="11">
        <v>0.75169593095779419</v>
      </c>
      <c r="O643" s="11">
        <v>0.25655186176300049</v>
      </c>
      <c r="Q643" s="59">
        <v>15.152131974850644</v>
      </c>
      <c r="R643" s="78">
        <v>545.90567527703422</v>
      </c>
      <c r="S643" s="78">
        <v>15.200814264555591</v>
      </c>
      <c r="T643" s="78">
        <v>644.26298170683299</v>
      </c>
      <c r="U643" s="78">
        <v>4.8682289704947479E-2</v>
      </c>
      <c r="V643" s="78">
        <v>98.357306429798768</v>
      </c>
      <c r="Y643" s="28"/>
      <c r="Z643" s="28"/>
      <c r="AK643" s="28"/>
      <c r="AS643" s="28"/>
      <c r="AT643" s="28"/>
    </row>
    <row r="644" spans="3:46" x14ac:dyDescent="0.15">
      <c r="C644" s="11">
        <v>7.0440918207168579E-3</v>
      </c>
      <c r="D644" s="11">
        <v>1.4193713665008545E-2</v>
      </c>
      <c r="E644" s="11">
        <v>0.27794281516203784</v>
      </c>
      <c r="F644" s="11">
        <v>0</v>
      </c>
      <c r="G644" s="11">
        <v>4.855838418006897E-2</v>
      </c>
      <c r="H644" s="40">
        <v>3.7600628221114423E-4</v>
      </c>
      <c r="I644" s="40">
        <v>1.4909611813290879</v>
      </c>
      <c r="J644" s="59">
        <v>0</v>
      </c>
      <c r="K644" s="59">
        <v>4039.7234261035919</v>
      </c>
      <c r="L644" s="59">
        <v>0</v>
      </c>
      <c r="M644" s="11">
        <v>0.79834842681884766</v>
      </c>
      <c r="N644" s="11">
        <v>0.73741894960403442</v>
      </c>
      <c r="O644" s="11">
        <v>0.31588870286941528</v>
      </c>
      <c r="Q644" s="59">
        <v>13.959991115795949</v>
      </c>
      <c r="R644" s="78">
        <v>482.11269564030414</v>
      </c>
      <c r="S644" s="78">
        <v>13.990398634718208</v>
      </c>
      <c r="T644" s="78">
        <v>603.80697479004482</v>
      </c>
      <c r="U644" s="78">
        <v>3.0407518922258348E-2</v>
      </c>
      <c r="V644" s="78">
        <v>121.69427914974068</v>
      </c>
      <c r="Y644" s="28"/>
      <c r="Z644" s="28"/>
      <c r="AK644" s="28"/>
      <c r="AS644" s="28"/>
      <c r="AT644" s="28"/>
    </row>
    <row r="645" spans="3:46" x14ac:dyDescent="0.15">
      <c r="C645" s="11">
        <v>4.1179060935974121E-2</v>
      </c>
      <c r="D645" s="11">
        <v>1.4992237091064453E-2</v>
      </c>
      <c r="E645" s="11">
        <v>0.2259276590959782</v>
      </c>
      <c r="F645" s="11">
        <v>0</v>
      </c>
      <c r="G645" s="11">
        <v>4.3178260326385498E-2</v>
      </c>
      <c r="H645" s="40">
        <v>5.319574164740832E-4</v>
      </c>
      <c r="I645" s="40">
        <v>1.4266638214827132</v>
      </c>
      <c r="J645" s="59">
        <v>0</v>
      </c>
      <c r="K645" s="59">
        <v>4727.6332043111324</v>
      </c>
      <c r="L645" s="59">
        <v>0</v>
      </c>
      <c r="M645" s="11">
        <v>0.83665996789932251</v>
      </c>
      <c r="N645" s="11">
        <v>0.71055865287780762</v>
      </c>
      <c r="O645" s="11">
        <v>0.31117677688598633</v>
      </c>
      <c r="Q645" s="59">
        <v>14.100532522745516</v>
      </c>
      <c r="R645" s="78">
        <v>507.3639002054137</v>
      </c>
      <c r="S645" s="78">
        <v>14.153903574188661</v>
      </c>
      <c r="T645" s="78">
        <v>605.01534861752293</v>
      </c>
      <c r="U645" s="78">
        <v>5.3371051443145134E-2</v>
      </c>
      <c r="V645" s="78">
        <v>97.651448412109232</v>
      </c>
      <c r="Y645" s="28"/>
      <c r="Z645" s="28"/>
      <c r="AK645" s="28"/>
      <c r="AS645" s="28"/>
      <c r="AT645" s="28"/>
    </row>
    <row r="646" spans="3:46" x14ac:dyDescent="0.15">
      <c r="C646" s="11">
        <v>2.2320359945297241E-2</v>
      </c>
      <c r="D646" s="11">
        <v>3.3847063779830933E-2</v>
      </c>
      <c r="E646" s="11">
        <v>0.3670670894040326</v>
      </c>
      <c r="F646" s="11">
        <v>0</v>
      </c>
      <c r="G646" s="11">
        <v>1.9802063703536987E-2</v>
      </c>
      <c r="H646" s="40">
        <v>2.6778551089346277E-4</v>
      </c>
      <c r="I646" s="40">
        <v>1.6528658278186923</v>
      </c>
      <c r="J646" s="59">
        <v>0</v>
      </c>
      <c r="K646" s="59">
        <v>6147.8232964873314</v>
      </c>
      <c r="L646" s="59">
        <v>0</v>
      </c>
      <c r="M646" s="11">
        <v>0.84128022193908691</v>
      </c>
      <c r="N646" s="11">
        <v>0.82567977905273438</v>
      </c>
      <c r="O646" s="11">
        <v>0.31299573183059692</v>
      </c>
      <c r="Q646" s="59">
        <v>14.490069667618323</v>
      </c>
      <c r="R646" s="78">
        <v>523.43029119828748</v>
      </c>
      <c r="S646" s="78">
        <v>14.514034813671529</v>
      </c>
      <c r="T646" s="78">
        <v>627.20738267150136</v>
      </c>
      <c r="U646" s="78">
        <v>2.3965146053205544E-2</v>
      </c>
      <c r="V646" s="78">
        <v>103.77709147321389</v>
      </c>
      <c r="Y646" s="28"/>
      <c r="Z646" s="28"/>
      <c r="AK646" s="28"/>
      <c r="AS646" s="28"/>
      <c r="AT646" s="28"/>
    </row>
    <row r="647" spans="3:46" x14ac:dyDescent="0.15">
      <c r="C647" s="11">
        <v>2.7058124542236328E-3</v>
      </c>
      <c r="D647" s="11">
        <v>4.473567008972168E-2</v>
      </c>
      <c r="E647" s="11">
        <v>0.35006908032766981</v>
      </c>
      <c r="F647" s="11">
        <v>0</v>
      </c>
      <c r="G647" s="11">
        <v>4.4751107692718506E-2</v>
      </c>
      <c r="H647" s="40">
        <v>3.5407945132295154E-4</v>
      </c>
      <c r="I647" s="40">
        <v>1.4432578021286921</v>
      </c>
      <c r="J647" s="59">
        <v>0</v>
      </c>
      <c r="K647" s="59">
        <v>4703.4118324518204</v>
      </c>
      <c r="L647" s="59">
        <v>0</v>
      </c>
      <c r="M647" s="11">
        <v>0.88433372974395752</v>
      </c>
      <c r="N647" s="11">
        <v>0.68892717361450195</v>
      </c>
      <c r="O647" s="11">
        <v>0.30259531736373901</v>
      </c>
      <c r="Q647" s="59">
        <v>15.502960869996404</v>
      </c>
      <c r="R647" s="78">
        <v>476.36031056254654</v>
      </c>
      <c r="S647" s="78">
        <v>15.551605194323132</v>
      </c>
      <c r="T647" s="78">
        <v>608.10054394738984</v>
      </c>
      <c r="U647" s="78">
        <v>4.8644324326728494E-2</v>
      </c>
      <c r="V647" s="78">
        <v>131.74023338484329</v>
      </c>
      <c r="Y647" s="28"/>
      <c r="Z647" s="28"/>
      <c r="AK647" s="28"/>
      <c r="AS647" s="28"/>
      <c r="AT647" s="28"/>
    </row>
    <row r="648" spans="3:46" x14ac:dyDescent="0.15">
      <c r="C648" s="11">
        <v>1.1156603693962097E-2</v>
      </c>
      <c r="D648" s="11">
        <v>2.1854370832443237E-2</v>
      </c>
      <c r="E648" s="11">
        <v>0.45540924625075729</v>
      </c>
      <c r="F648" s="11">
        <v>0</v>
      </c>
      <c r="G648" s="11">
        <v>1.5270113945007324E-2</v>
      </c>
      <c r="H648" s="40">
        <v>4.1867492634099855E-4</v>
      </c>
      <c r="I648" s="40">
        <v>1.436241492942792</v>
      </c>
      <c r="J648" s="59">
        <v>0</v>
      </c>
      <c r="K648" s="59">
        <v>3647.6273089647293</v>
      </c>
      <c r="L648" s="59">
        <v>0</v>
      </c>
      <c r="M648" s="11">
        <v>0.86702001094818115</v>
      </c>
      <c r="N648" s="11">
        <v>0.82038259506225586</v>
      </c>
      <c r="O648" s="11">
        <v>0.28526866436004639</v>
      </c>
      <c r="Q648" s="59">
        <v>15.106436057493337</v>
      </c>
      <c r="R648" s="78">
        <v>456.72034057802534</v>
      </c>
      <c r="S648" s="78">
        <v>15.126604605690268</v>
      </c>
      <c r="T648" s="78">
        <v>607.8281872587711</v>
      </c>
      <c r="U648" s="78">
        <v>2.0168548196931368E-2</v>
      </c>
      <c r="V648" s="78">
        <v>151.10784668074575</v>
      </c>
      <c r="Y648" s="28"/>
      <c r="Z648" s="28"/>
      <c r="AK648" s="28"/>
      <c r="AS648" s="28"/>
      <c r="AT648" s="28"/>
    </row>
    <row r="649" spans="3:46" x14ac:dyDescent="0.15">
      <c r="C649" s="11">
        <v>3.229859471321106E-2</v>
      </c>
      <c r="D649" s="11">
        <v>3.7546515464782715E-2</v>
      </c>
      <c r="E649" s="11">
        <v>0.47553615538911637</v>
      </c>
      <c r="F649" s="11">
        <v>0</v>
      </c>
      <c r="G649" s="11">
        <v>5.7071685791015625E-2</v>
      </c>
      <c r="H649" s="40">
        <v>3.6437247020561822E-4</v>
      </c>
      <c r="I649" s="40">
        <v>1.3454502412635601</v>
      </c>
      <c r="J649" s="59">
        <v>0</v>
      </c>
      <c r="K649" s="59">
        <v>8036.3452434539795</v>
      </c>
      <c r="L649" s="59">
        <v>0</v>
      </c>
      <c r="M649" s="11">
        <v>0.85644716024398804</v>
      </c>
      <c r="N649" s="11">
        <v>0.69879424571990967</v>
      </c>
      <c r="O649" s="11">
        <v>0.31433090567588806</v>
      </c>
      <c r="Q649" s="59">
        <v>14.590570285605555</v>
      </c>
      <c r="R649" s="78">
        <v>506.45941855943295</v>
      </c>
      <c r="S649" s="78">
        <v>14.615989717828482</v>
      </c>
      <c r="T649" s="78">
        <v>632.76976888428112</v>
      </c>
      <c r="U649" s="78">
        <v>2.5419432222927085E-2</v>
      </c>
      <c r="V649" s="78">
        <v>126.31035032484817</v>
      </c>
      <c r="Y649" s="28"/>
      <c r="Z649" s="28"/>
      <c r="AK649" s="28"/>
      <c r="AS649" s="28"/>
      <c r="AT649" s="28"/>
    </row>
    <row r="650" spans="3:46" x14ac:dyDescent="0.15">
      <c r="C650" s="11">
        <v>7.4315071105957031E-3</v>
      </c>
      <c r="D650" s="11">
        <v>4.9063116312026978E-3</v>
      </c>
      <c r="E650" s="11">
        <v>0.20042560225611916</v>
      </c>
      <c r="F650" s="11">
        <v>0</v>
      </c>
      <c r="G650" s="11">
        <v>4.7780752182006836E-2</v>
      </c>
      <c r="H650" s="40">
        <v>3.6220873330225462E-4</v>
      </c>
      <c r="I650" s="40">
        <v>1.4898125322896729</v>
      </c>
      <c r="J650" s="59">
        <v>0</v>
      </c>
      <c r="K650" s="59">
        <v>3671.2409928441048</v>
      </c>
      <c r="L650" s="59">
        <v>0</v>
      </c>
      <c r="M650" s="11">
        <v>0.88526880741119385</v>
      </c>
      <c r="N650" s="11">
        <v>0.70600926876068115</v>
      </c>
      <c r="O650" s="11">
        <v>0.32094597816467285</v>
      </c>
      <c r="Q650" s="59">
        <v>15.447785037145321</v>
      </c>
      <c r="R650" s="78">
        <v>470.84487968507989</v>
      </c>
      <c r="S650" s="78">
        <v>15.505940863904611</v>
      </c>
      <c r="T650" s="78">
        <v>594.61360919468996</v>
      </c>
      <c r="U650" s="78">
        <v>5.8155826759289653E-2</v>
      </c>
      <c r="V650" s="78">
        <v>123.76872950961007</v>
      </c>
      <c r="Y650" s="28"/>
      <c r="Z650" s="28"/>
      <c r="AK650" s="28"/>
      <c r="AS650" s="28"/>
      <c r="AT650" s="28"/>
    </row>
    <row r="651" spans="3:46" x14ac:dyDescent="0.15">
      <c r="C651" s="11">
        <v>1.7428308725357056E-2</v>
      </c>
      <c r="D651" s="11">
        <v>2.4472445249557495E-2</v>
      </c>
      <c r="E651" s="11">
        <v>0.27595712150471485</v>
      </c>
      <c r="F651" s="11">
        <v>0</v>
      </c>
      <c r="G651" s="11">
        <v>1.6920983791351318E-2</v>
      </c>
      <c r="H651" s="40">
        <v>4.6418810615287282E-4</v>
      </c>
      <c r="I651" s="40">
        <v>1.4679598748156937</v>
      </c>
      <c r="J651" s="59">
        <v>0</v>
      </c>
      <c r="K651" s="59">
        <v>7777.4282544851303</v>
      </c>
      <c r="L651" s="59">
        <v>0</v>
      </c>
      <c r="M651" s="11">
        <v>0.82632350921630859</v>
      </c>
      <c r="N651" s="11">
        <v>0.74737238883972168</v>
      </c>
      <c r="O651" s="11">
        <v>0.28911933302879333</v>
      </c>
      <c r="Q651" s="59">
        <v>14.287036843897523</v>
      </c>
      <c r="R651" s="78">
        <v>556.72107268906632</v>
      </c>
      <c r="S651" s="78">
        <v>14.326168362609117</v>
      </c>
      <c r="T651" s="78">
        <v>624.58968529667879</v>
      </c>
      <c r="U651" s="78">
        <v>3.9131518711593927E-2</v>
      </c>
      <c r="V651" s="78">
        <v>67.868612607612476</v>
      </c>
      <c r="Y651" s="28"/>
      <c r="Z651" s="28"/>
      <c r="AK651" s="28"/>
      <c r="AS651" s="28"/>
      <c r="AT651" s="28"/>
    </row>
    <row r="652" spans="3:46" x14ac:dyDescent="0.15">
      <c r="C652" s="11">
        <v>4.4112920761108398E-2</v>
      </c>
      <c r="D652" s="11">
        <v>1.8774062395095825E-2</v>
      </c>
      <c r="E652" s="11">
        <v>0.24250712672541691</v>
      </c>
      <c r="F652" s="11">
        <v>0</v>
      </c>
      <c r="G652" s="11">
        <v>3.2396107912063599E-2</v>
      </c>
      <c r="H652" s="40">
        <v>4.6251335646389254E-4</v>
      </c>
      <c r="I652" s="40">
        <v>1.5035502882361791</v>
      </c>
      <c r="J652" s="59">
        <v>0</v>
      </c>
      <c r="K652" s="59">
        <v>8325.4650235176086</v>
      </c>
      <c r="L652" s="59">
        <v>0</v>
      </c>
      <c r="M652" s="11">
        <v>0.8154139518737793</v>
      </c>
      <c r="N652" s="11">
        <v>0.73296821117401123</v>
      </c>
      <c r="O652" s="11">
        <v>0.34193086624145508</v>
      </c>
      <c r="Q652" s="59">
        <v>13.710053319726969</v>
      </c>
      <c r="R652" s="78">
        <v>598.33696192432546</v>
      </c>
      <c r="S652" s="78">
        <v>13.75347984022908</v>
      </c>
      <c r="T652" s="78">
        <v>629.43087677357255</v>
      </c>
      <c r="U652" s="78">
        <v>4.3426520502110932E-2</v>
      </c>
      <c r="V652" s="78">
        <v>31.093914849247085</v>
      </c>
      <c r="Y652" s="28"/>
      <c r="Z652" s="28"/>
      <c r="AK652" s="28"/>
      <c r="AS652" s="28"/>
      <c r="AT652" s="28"/>
    </row>
    <row r="653" spans="3:46" x14ac:dyDescent="0.15">
      <c r="C653" s="11">
        <v>3.8203895092010498E-3</v>
      </c>
      <c r="D653" s="11">
        <v>4.3097496032714844E-2</v>
      </c>
      <c r="E653" s="11">
        <v>0.13196507021399853</v>
      </c>
      <c r="F653" s="11">
        <v>0</v>
      </c>
      <c r="G653" s="11">
        <v>3.6879301071166992E-2</v>
      </c>
      <c r="H653" s="40">
        <v>5.0507757319066219E-4</v>
      </c>
      <c r="I653" s="40">
        <v>1.4277112560207046</v>
      </c>
      <c r="J653" s="59">
        <v>0</v>
      </c>
      <c r="K653" s="59">
        <v>5671.3446974754333</v>
      </c>
      <c r="L653" s="59">
        <v>0</v>
      </c>
      <c r="M653" s="11">
        <v>0.86092561483383179</v>
      </c>
      <c r="N653" s="11">
        <v>0.76097893714904785</v>
      </c>
      <c r="O653" s="11">
        <v>0.28152942657470703</v>
      </c>
      <c r="Q653" s="59">
        <v>15.077771055986553</v>
      </c>
      <c r="R653" s="78">
        <v>523.48748128948762</v>
      </c>
      <c r="S653" s="78">
        <v>15.139356050277256</v>
      </c>
      <c r="T653" s="78">
        <v>596.37804475774692</v>
      </c>
      <c r="U653" s="78">
        <v>6.1584994290702966E-2</v>
      </c>
      <c r="V653" s="78">
        <v>72.890563468259302</v>
      </c>
      <c r="Y653" s="28"/>
      <c r="Z653" s="28"/>
      <c r="AK653" s="28"/>
      <c r="AS653" s="28"/>
      <c r="AT653" s="28"/>
    </row>
    <row r="654" spans="3:46" x14ac:dyDescent="0.15">
      <c r="C654" s="11">
        <v>8.8390260934829712E-3</v>
      </c>
      <c r="D654" s="11">
        <v>1.3042539358139038E-2</v>
      </c>
      <c r="E654" s="11">
        <v>0.27450844579368949</v>
      </c>
      <c r="F654" s="11">
        <v>0</v>
      </c>
      <c r="G654" s="11">
        <v>1.7738491296768188E-2</v>
      </c>
      <c r="H654" s="40">
        <v>5.2619688262142423E-4</v>
      </c>
      <c r="I654" s="40">
        <v>1.3880289081303789</v>
      </c>
      <c r="J654" s="59">
        <v>0</v>
      </c>
      <c r="K654" s="59">
        <v>5034.1908354312181</v>
      </c>
      <c r="L654" s="59">
        <v>0</v>
      </c>
      <c r="M654" s="11">
        <v>0.83351796865463257</v>
      </c>
      <c r="N654" s="11">
        <v>0.72252321243286133</v>
      </c>
      <c r="O654" s="11">
        <v>0.27074271440505981</v>
      </c>
      <c r="Q654" s="59">
        <v>14.536404237803982</v>
      </c>
      <c r="R654" s="78">
        <v>490.03279486318957</v>
      </c>
      <c r="S654" s="78">
        <v>14.577068864705875</v>
      </c>
      <c r="T654" s="78">
        <v>605.70726335223731</v>
      </c>
      <c r="U654" s="78">
        <v>4.0664626901893541E-2</v>
      </c>
      <c r="V654" s="78">
        <v>115.67446848904774</v>
      </c>
      <c r="Y654" s="28"/>
      <c r="Z654" s="28"/>
      <c r="AK654" s="28"/>
      <c r="AS654" s="28"/>
      <c r="AT654" s="28"/>
    </row>
    <row r="655" spans="3:46" x14ac:dyDescent="0.15">
      <c r="C655" s="11">
        <v>4.0639281272888184E-2</v>
      </c>
      <c r="D655" s="11">
        <v>3.2625913619995117E-2</v>
      </c>
      <c r="E655" s="11">
        <v>0.27087126328913924</v>
      </c>
      <c r="F655" s="11">
        <v>0</v>
      </c>
      <c r="G655" s="11">
        <v>3.8453072309494019E-2</v>
      </c>
      <c r="H655" s="40">
        <v>7.1652224517127828E-4</v>
      </c>
      <c r="I655" s="40">
        <v>1.3177088026620551</v>
      </c>
      <c r="J655" s="59">
        <v>0</v>
      </c>
      <c r="K655" s="59">
        <v>5738.7654669582844</v>
      </c>
      <c r="L655" s="59">
        <v>0</v>
      </c>
      <c r="M655" s="11">
        <v>0.81034839153289795</v>
      </c>
      <c r="N655" s="11">
        <v>0.81773662567138672</v>
      </c>
      <c r="O655" s="11">
        <v>0.25143671035766602</v>
      </c>
      <c r="Q655" s="59">
        <v>13.698508774778972</v>
      </c>
      <c r="R655" s="78">
        <v>525.18443250929704</v>
      </c>
      <c r="S655" s="78">
        <v>13.722740783342504</v>
      </c>
      <c r="T655" s="78">
        <v>615.02222914943491</v>
      </c>
      <c r="U655" s="78">
        <v>2.4232008563531693E-2</v>
      </c>
      <c r="V655" s="78">
        <v>89.837796640137867</v>
      </c>
      <c r="Y655" s="28"/>
      <c r="Z655" s="28"/>
      <c r="AK655" s="28"/>
      <c r="AS655" s="28"/>
      <c r="AT655" s="28"/>
    </row>
    <row r="656" spans="3:46" x14ac:dyDescent="0.15">
      <c r="C656" s="11">
        <v>1.1141881346702576E-2</v>
      </c>
      <c r="D656" s="11">
        <v>5.9315264225006104E-3</v>
      </c>
      <c r="E656" s="11">
        <v>0.1551917867528354</v>
      </c>
      <c r="F656" s="11">
        <v>0</v>
      </c>
      <c r="G656" s="11">
        <v>4.1986644268035889E-2</v>
      </c>
      <c r="H656" s="40">
        <v>4.7489700991473619E-4</v>
      </c>
      <c r="I656" s="40">
        <v>1.3587284626083398</v>
      </c>
      <c r="J656" s="59">
        <v>0</v>
      </c>
      <c r="K656" s="59">
        <v>4925.0014126300812</v>
      </c>
      <c r="L656" s="59">
        <v>0</v>
      </c>
      <c r="M656" s="11">
        <v>0.86436557769775391</v>
      </c>
      <c r="N656" s="11">
        <v>0.71332675218582153</v>
      </c>
      <c r="O656" s="11">
        <v>0.25031852722167969</v>
      </c>
      <c r="Q656" s="59">
        <v>15.038488955759982</v>
      </c>
      <c r="R656" s="78">
        <v>483.35890108362617</v>
      </c>
      <c r="S656" s="78">
        <v>15.088363377937926</v>
      </c>
      <c r="T656" s="78">
        <v>593.03608464276999</v>
      </c>
      <c r="U656" s="78">
        <v>4.9874422177943245E-2</v>
      </c>
      <c r="V656" s="78">
        <v>109.67718355914383</v>
      </c>
      <c r="Y656" s="28"/>
      <c r="Z656" s="28"/>
      <c r="AK656" s="28"/>
      <c r="AS656" s="28"/>
      <c r="AT656" s="28"/>
    </row>
    <row r="657" spans="3:46" x14ac:dyDescent="0.15">
      <c r="C657" s="11">
        <v>1.879766583442688E-2</v>
      </c>
      <c r="D657" s="11">
        <v>7.9990923404693604E-3</v>
      </c>
      <c r="E657" s="11">
        <v>0.17936691793276641</v>
      </c>
      <c r="F657" s="11">
        <v>0</v>
      </c>
      <c r="G657" s="11">
        <v>4.1437625885009766E-2</v>
      </c>
      <c r="H657" s="40">
        <v>5.8809456510571032E-4</v>
      </c>
      <c r="I657" s="40">
        <v>1.4012294978029727</v>
      </c>
      <c r="J657" s="59">
        <v>0</v>
      </c>
      <c r="K657" s="59">
        <v>5322.7972239255905</v>
      </c>
      <c r="L657" s="59">
        <v>0</v>
      </c>
      <c r="M657" s="11">
        <v>0.8929215669631958</v>
      </c>
      <c r="N657" s="11">
        <v>0.76259452104568481</v>
      </c>
      <c r="O657" s="11">
        <v>0.31084543466567993</v>
      </c>
      <c r="Q657" s="59">
        <v>15.401253351489103</v>
      </c>
      <c r="R657" s="78">
        <v>527.09720623349142</v>
      </c>
      <c r="S657" s="78">
        <v>15.462093191113283</v>
      </c>
      <c r="T657" s="78">
        <v>603.27727207224666</v>
      </c>
      <c r="U657" s="78">
        <v>6.0839839624179604E-2</v>
      </c>
      <c r="V657" s="78">
        <v>76.18006583875524</v>
      </c>
      <c r="Y657" s="28"/>
      <c r="Z657" s="28"/>
      <c r="AK657" s="28"/>
      <c r="AS657" s="28"/>
      <c r="AT657" s="28"/>
    </row>
    <row r="658" spans="3:46" x14ac:dyDescent="0.15">
      <c r="C658" s="11">
        <v>1.12190842628479E-2</v>
      </c>
      <c r="D658" s="11">
        <v>4.2030960321426392E-3</v>
      </c>
      <c r="E658" s="11">
        <v>0.38149868699994399</v>
      </c>
      <c r="F658" s="11">
        <v>0</v>
      </c>
      <c r="G658" s="11">
        <v>2.7224034070968628E-2</v>
      </c>
      <c r="H658" s="40">
        <v>2.7960674080995381E-4</v>
      </c>
      <c r="I658" s="40">
        <v>1.5261349400860664</v>
      </c>
      <c r="J658" s="59">
        <v>0</v>
      </c>
      <c r="K658" s="59">
        <v>4630.5241994559765</v>
      </c>
      <c r="L658" s="59">
        <v>0</v>
      </c>
      <c r="M658" s="11">
        <v>0.90165901184082031</v>
      </c>
      <c r="N658" s="11">
        <v>0.74676716327667236</v>
      </c>
      <c r="O658" s="11">
        <v>0.31373739242553711</v>
      </c>
      <c r="Q658" s="59">
        <v>15.691913385818625</v>
      </c>
      <c r="R658" s="78">
        <v>468.65786834605228</v>
      </c>
      <c r="S658" s="78">
        <v>15.726273879053872</v>
      </c>
      <c r="T658" s="78">
        <v>607.75271597419237</v>
      </c>
      <c r="U658" s="78">
        <v>3.4360493235247702E-2</v>
      </c>
      <c r="V658" s="78">
        <v>139.09484762814009</v>
      </c>
      <c r="Y658" s="28"/>
      <c r="Z658" s="28"/>
      <c r="AK658" s="28"/>
      <c r="AS658" s="28"/>
      <c r="AT658" s="28"/>
    </row>
    <row r="659" spans="3:46" x14ac:dyDescent="0.15">
      <c r="C659" s="11">
        <v>3.2654315233230591E-2</v>
      </c>
      <c r="D659" s="11">
        <v>4.4952273368835449E-2</v>
      </c>
      <c r="E659" s="11">
        <v>0.35416337087968347</v>
      </c>
      <c r="F659" s="11">
        <v>0</v>
      </c>
      <c r="G659" s="11">
        <v>3.0909538269042969E-2</v>
      </c>
      <c r="H659" s="40">
        <v>4.2544879672142683E-4</v>
      </c>
      <c r="I659" s="40">
        <v>1.5596542893356231</v>
      </c>
      <c r="J659" s="59">
        <v>0</v>
      </c>
      <c r="K659" s="59">
        <v>6187.6419931650162</v>
      </c>
      <c r="L659" s="59">
        <v>0</v>
      </c>
      <c r="M659" s="11">
        <v>0.83320021629333496</v>
      </c>
      <c r="N659" s="11">
        <v>0.82050728797912598</v>
      </c>
      <c r="O659" s="11">
        <v>0.29537218809127808</v>
      </c>
      <c r="Q659" s="59">
        <v>14.185324853828011</v>
      </c>
      <c r="R659" s="78">
        <v>558.11173852087688</v>
      </c>
      <c r="S659" s="78">
        <v>14.218138269752441</v>
      </c>
      <c r="T659" s="78">
        <v>638.10507463373551</v>
      </c>
      <c r="U659" s="78">
        <v>3.2813415924429989E-2</v>
      </c>
      <c r="V659" s="78">
        <v>79.993336112858628</v>
      </c>
      <c r="Y659" s="28"/>
      <c r="Z659" s="28"/>
      <c r="AK659" s="28"/>
      <c r="AS659" s="28"/>
      <c r="AT659" s="28"/>
    </row>
    <row r="660" spans="3:46" x14ac:dyDescent="0.15">
      <c r="C660" s="11">
        <v>1.186390221118927E-2</v>
      </c>
      <c r="D660" s="11">
        <v>3.8721561431884766E-3</v>
      </c>
      <c r="E660" s="11">
        <v>0.3864004758421426</v>
      </c>
      <c r="F660" s="11">
        <v>0</v>
      </c>
      <c r="G660" s="11">
        <v>3.6496549844741821E-2</v>
      </c>
      <c r="H660" s="40">
        <v>5.8387961040169125E-4</v>
      </c>
      <c r="I660" s="40">
        <v>1.2889358089114868</v>
      </c>
      <c r="J660" s="59">
        <v>0</v>
      </c>
      <c r="K660" s="59">
        <v>4873.4538722783327</v>
      </c>
      <c r="L660" s="59">
        <v>0</v>
      </c>
      <c r="M660" s="11">
        <v>0.82785522937774658</v>
      </c>
      <c r="N660" s="11">
        <v>0.79915940761566162</v>
      </c>
      <c r="O660" s="11">
        <v>0.30907130241394043</v>
      </c>
      <c r="Q660" s="59">
        <v>14.424047264486385</v>
      </c>
      <c r="R660" s="78">
        <v>480.13591355783757</v>
      </c>
      <c r="S660" s="78">
        <v>14.439501481145273</v>
      </c>
      <c r="T660" s="78">
        <v>612.56666120727823</v>
      </c>
      <c r="U660" s="78">
        <v>1.5454216658888242E-2</v>
      </c>
      <c r="V660" s="78">
        <v>132.43074764944066</v>
      </c>
      <c r="Y660" s="28"/>
      <c r="Z660" s="28"/>
      <c r="AK660" s="28"/>
      <c r="AS660" s="28"/>
      <c r="AT660" s="28"/>
    </row>
    <row r="661" spans="3:46" x14ac:dyDescent="0.15">
      <c r="C661" s="11">
        <v>2.090156078338623E-3</v>
      </c>
      <c r="D661" s="11">
        <v>2.4427443742752075E-2</v>
      </c>
      <c r="E661" s="11">
        <v>0.23237354472167607</v>
      </c>
      <c r="F661" s="11">
        <v>0</v>
      </c>
      <c r="G661" s="11">
        <v>6.480175256729126E-2</v>
      </c>
      <c r="H661" s="40">
        <v>5.3841621184069083E-4</v>
      </c>
      <c r="I661" s="40">
        <v>1.4980510076133906</v>
      </c>
      <c r="J661" s="59">
        <v>0</v>
      </c>
      <c r="K661" s="59">
        <v>5699.2704048752785</v>
      </c>
      <c r="L661" s="59">
        <v>0</v>
      </c>
      <c r="M661" s="11">
        <v>0.83966857194900513</v>
      </c>
      <c r="N661" s="11">
        <v>0.7819334864616394</v>
      </c>
      <c r="O661" s="11">
        <v>0.27677631378173828</v>
      </c>
      <c r="Q661" s="59">
        <v>14.726288088342203</v>
      </c>
      <c r="R661" s="78">
        <v>588.18688523246624</v>
      </c>
      <c r="S661" s="78">
        <v>14.782879587208036</v>
      </c>
      <c r="T661" s="78">
        <v>625.02251477211439</v>
      </c>
      <c r="U661" s="78">
        <v>5.6591498865833145E-2</v>
      </c>
      <c r="V661" s="78">
        <v>36.835629539648153</v>
      </c>
      <c r="Y661" s="28"/>
      <c r="Z661" s="28"/>
      <c r="AK661" s="28"/>
      <c r="AS661" s="28"/>
      <c r="AT661" s="28"/>
    </row>
    <row r="662" spans="3:46" x14ac:dyDescent="0.15">
      <c r="C662" s="11">
        <v>1.7294362187385559E-2</v>
      </c>
      <c r="D662" s="11">
        <v>4.6910762786865234E-2</v>
      </c>
      <c r="E662" s="11">
        <v>0.24919142596297331</v>
      </c>
      <c r="F662" s="11">
        <v>0</v>
      </c>
      <c r="G662" s="11">
        <v>0.10014057159423828</v>
      </c>
      <c r="H662" s="40">
        <v>5.3001788348815138E-4</v>
      </c>
      <c r="I662" s="40">
        <v>1.3191483116630072</v>
      </c>
      <c r="J662" s="59">
        <v>0</v>
      </c>
      <c r="K662" s="59">
        <v>7875.7759183645248</v>
      </c>
      <c r="L662" s="59">
        <v>0</v>
      </c>
      <c r="M662" s="11">
        <v>0.87732040882110596</v>
      </c>
      <c r="N662" s="11">
        <v>0.79654192924499512</v>
      </c>
      <c r="O662" s="11">
        <v>0.33000785112380981</v>
      </c>
      <c r="Q662" s="59">
        <v>15.170048647777746</v>
      </c>
      <c r="R662" s="78">
        <v>570.95434544806221</v>
      </c>
      <c r="S662" s="78">
        <v>15.213847774670779</v>
      </c>
      <c r="T662" s="78">
        <v>623.54133382774194</v>
      </c>
      <c r="U662" s="78">
        <v>4.3799126893032891E-2</v>
      </c>
      <c r="V662" s="78">
        <v>52.586988379679724</v>
      </c>
      <c r="Y662" s="28"/>
      <c r="Z662" s="28"/>
      <c r="AK662" s="28"/>
      <c r="AS662" s="28"/>
      <c r="AT662" s="28"/>
    </row>
    <row r="663" spans="3:46" x14ac:dyDescent="0.15">
      <c r="C663" s="11">
        <v>6.8266689777374268E-3</v>
      </c>
      <c r="D663" s="11">
        <v>2.7529418468475342E-2</v>
      </c>
      <c r="E663" s="11">
        <v>0.17086861843848927</v>
      </c>
      <c r="F663" s="11">
        <v>0</v>
      </c>
      <c r="G663" s="11">
        <v>2.9021888971328735E-2</v>
      </c>
      <c r="H663" s="40">
        <v>5.0997609087597752E-4</v>
      </c>
      <c r="I663" s="40">
        <v>1.410551651629699</v>
      </c>
      <c r="J663" s="59">
        <v>0</v>
      </c>
      <c r="K663" s="59">
        <v>5673.6357510089874</v>
      </c>
      <c r="L663" s="59">
        <v>0</v>
      </c>
      <c r="M663" s="11">
        <v>0.79113912582397461</v>
      </c>
      <c r="N663" s="11">
        <v>0.81377017498016357</v>
      </c>
      <c r="O663" s="11">
        <v>0.30403357744216919</v>
      </c>
      <c r="Q663" s="59">
        <v>13.857267460213201</v>
      </c>
      <c r="R663" s="78">
        <v>513.50345194072179</v>
      </c>
      <c r="S663" s="78">
        <v>13.875168784087949</v>
      </c>
      <c r="T663" s="78">
        <v>599.7365205174741</v>
      </c>
      <c r="U663" s="78">
        <v>1.7901323874747632E-2</v>
      </c>
      <c r="V663" s="78">
        <v>86.233068576752316</v>
      </c>
      <c r="Y663" s="28"/>
      <c r="Z663" s="28"/>
      <c r="AK663" s="28"/>
      <c r="AS663" s="28"/>
      <c r="AT663" s="28"/>
    </row>
    <row r="664" spans="3:46" x14ac:dyDescent="0.15">
      <c r="C664" s="11">
        <v>1.4135688543319702E-2</v>
      </c>
      <c r="D664" s="11">
        <v>6.9096982479095459E-3</v>
      </c>
      <c r="E664" s="11">
        <v>0.16837857532177988</v>
      </c>
      <c r="F664" s="11">
        <v>0</v>
      </c>
      <c r="G664" s="11">
        <v>6.2412619590759277E-2</v>
      </c>
      <c r="H664" s="40">
        <v>4.3522393768348451E-4</v>
      </c>
      <c r="I664" s="40">
        <v>1.4690982531221897</v>
      </c>
      <c r="J664" s="59">
        <v>0</v>
      </c>
      <c r="K664" s="59">
        <v>7010.4189217090607</v>
      </c>
      <c r="L664" s="59">
        <v>0</v>
      </c>
      <c r="M664" s="11">
        <v>0.88163745403289795</v>
      </c>
      <c r="N664" s="11">
        <v>0.77422142028808594</v>
      </c>
      <c r="O664" s="11">
        <v>0.30157956480979919</v>
      </c>
      <c r="Q664" s="59">
        <v>15.288966454148216</v>
      </c>
      <c r="R664" s="78">
        <v>569.95162772616095</v>
      </c>
      <c r="S664" s="78">
        <v>15.341798757722723</v>
      </c>
      <c r="T664" s="78">
        <v>609.09475959738927</v>
      </c>
      <c r="U664" s="78">
        <v>5.2832303574506412E-2</v>
      </c>
      <c r="V664" s="78">
        <v>39.14313187122832</v>
      </c>
      <c r="Y664" s="28"/>
      <c r="Z664" s="28"/>
      <c r="AK664" s="28"/>
      <c r="AS664" s="28"/>
      <c r="AT664" s="28"/>
    </row>
    <row r="665" spans="3:46" x14ac:dyDescent="0.15">
      <c r="C665" s="11">
        <v>2.1253824234008789E-2</v>
      </c>
      <c r="D665" s="11">
        <v>7.3844939470291138E-3</v>
      </c>
      <c r="E665" s="11">
        <v>0.2812724039947157</v>
      </c>
      <c r="F665" s="11">
        <v>0</v>
      </c>
      <c r="G665" s="11">
        <v>3.6992967128753662E-2</v>
      </c>
      <c r="H665" s="40">
        <v>4.1166259856446219E-4</v>
      </c>
      <c r="I665" s="40">
        <v>1.4145375444509447</v>
      </c>
      <c r="J665" s="59">
        <v>0</v>
      </c>
      <c r="K665" s="59">
        <v>4625.1271851360798</v>
      </c>
      <c r="L665" s="59">
        <v>0</v>
      </c>
      <c r="M665" s="11">
        <v>0.85185042023658752</v>
      </c>
      <c r="N665" s="11">
        <v>0.74356156587600708</v>
      </c>
      <c r="O665" s="11">
        <v>0.28462862968444824</v>
      </c>
      <c r="Q665" s="59">
        <v>14.679031511225423</v>
      </c>
      <c r="R665" s="78">
        <v>476.50093745297698</v>
      </c>
      <c r="S665" s="78">
        <v>14.713283475320246</v>
      </c>
      <c r="T665" s="78">
        <v>602.45831926954349</v>
      </c>
      <c r="U665" s="78">
        <v>3.4251964094822895E-2</v>
      </c>
      <c r="V665" s="78">
        <v>125.95738181656651</v>
      </c>
      <c r="Y665" s="28"/>
      <c r="Z665" s="28"/>
      <c r="AK665" s="28"/>
      <c r="AS665" s="28"/>
      <c r="AT665" s="28"/>
    </row>
    <row r="666" spans="3:46" x14ac:dyDescent="0.15">
      <c r="C666" s="11">
        <v>7.2021037340164185E-3</v>
      </c>
      <c r="D666" s="11">
        <v>2.603524923324585E-2</v>
      </c>
      <c r="E666" s="11">
        <v>0.37581082657087073</v>
      </c>
      <c r="F666" s="11">
        <v>0</v>
      </c>
      <c r="G666" s="11">
        <v>3.6240845918655396E-2</v>
      </c>
      <c r="H666" s="40">
        <v>4.8004564898575648E-4</v>
      </c>
      <c r="I666" s="40">
        <v>1.4448073418615563</v>
      </c>
      <c r="J666" s="59">
        <v>0</v>
      </c>
      <c r="K666" s="59">
        <v>5345.9871560335159</v>
      </c>
      <c r="L666" s="59">
        <v>0</v>
      </c>
      <c r="M666" s="11">
        <v>0.87077558040618896</v>
      </c>
      <c r="N666" s="11">
        <v>0.73756033182144165</v>
      </c>
      <c r="O666" s="11">
        <v>0.28517919778823853</v>
      </c>
      <c r="Q666" s="59">
        <v>15.194274487812201</v>
      </c>
      <c r="R666" s="78">
        <v>515.66644876194789</v>
      </c>
      <c r="S666" s="78">
        <v>15.241288495995914</v>
      </c>
      <c r="T666" s="78">
        <v>625.2843361515728</v>
      </c>
      <c r="U666" s="78">
        <v>4.7014008183712264E-2</v>
      </c>
      <c r="V666" s="78">
        <v>109.61788738962491</v>
      </c>
      <c r="Y666" s="28"/>
      <c r="Z666" s="28"/>
      <c r="AK666" s="28"/>
      <c r="AS666" s="28"/>
      <c r="AT666" s="28"/>
    </row>
    <row r="667" spans="3:46" x14ac:dyDescent="0.15">
      <c r="C667" s="11">
        <v>2.0862072706222534E-2</v>
      </c>
      <c r="D667" s="11">
        <v>1.0741904377937317E-2</v>
      </c>
      <c r="E667" s="11">
        <v>0.235979388663976</v>
      </c>
      <c r="F667" s="11">
        <v>0</v>
      </c>
      <c r="G667" s="11">
        <v>3.5516947507858276E-2</v>
      </c>
      <c r="H667" s="40">
        <v>5.1941095737226663E-4</v>
      </c>
      <c r="I667" s="40">
        <v>1.3555147235555669</v>
      </c>
      <c r="J667" s="59">
        <v>0</v>
      </c>
      <c r="K667" s="59">
        <v>7050.1910522580147</v>
      </c>
      <c r="L667" s="59">
        <v>0</v>
      </c>
      <c r="M667" s="11">
        <v>0.87372016906738281</v>
      </c>
      <c r="N667" s="11">
        <v>0.71026438474655151</v>
      </c>
      <c r="O667" s="11">
        <v>0.30475562810897827</v>
      </c>
      <c r="Q667" s="59">
        <v>15.045712062912116</v>
      </c>
      <c r="R667" s="78">
        <v>526.31728413022063</v>
      </c>
      <c r="S667" s="78">
        <v>15.095430842144424</v>
      </c>
      <c r="T667" s="78">
        <v>610.59678413852055</v>
      </c>
      <c r="U667" s="78">
        <v>4.9718779232307497E-2</v>
      </c>
      <c r="V667" s="78">
        <v>84.27950000829992</v>
      </c>
      <c r="Y667" s="28"/>
      <c r="Z667" s="28"/>
      <c r="AK667" s="28"/>
      <c r="AS667" s="28"/>
      <c r="AT667" s="28"/>
    </row>
    <row r="668" spans="3:46" x14ac:dyDescent="0.15">
      <c r="C668" s="11">
        <v>5.3061485290527344E-2</v>
      </c>
      <c r="D668" s="11">
        <v>1.227433979511261E-2</v>
      </c>
      <c r="E668" s="11">
        <v>0.29031989984328604</v>
      </c>
      <c r="F668" s="11">
        <v>0</v>
      </c>
      <c r="G668" s="11">
        <v>6.0193240642547607E-2</v>
      </c>
      <c r="H668" s="40">
        <v>2.5880011229217469E-4</v>
      </c>
      <c r="I668" s="40">
        <v>1.6076253206292255</v>
      </c>
      <c r="J668" s="59">
        <v>0</v>
      </c>
      <c r="K668" s="59">
        <v>4176.7512448132038</v>
      </c>
      <c r="L668" s="59">
        <v>0</v>
      </c>
      <c r="M668" s="11">
        <v>0.87055885791778564</v>
      </c>
      <c r="N668" s="11">
        <v>0.76581847667694092</v>
      </c>
      <c r="O668" s="11">
        <v>0.25915753841400146</v>
      </c>
      <c r="Q668" s="59">
        <v>14.503698453073385</v>
      </c>
      <c r="R668" s="78">
        <v>482.81575145177715</v>
      </c>
      <c r="S668" s="78">
        <v>14.544277762588839</v>
      </c>
      <c r="T668" s="78">
        <v>605.12146151841637</v>
      </c>
      <c r="U668" s="78">
        <v>4.0579309515454298E-2</v>
      </c>
      <c r="V668" s="78">
        <v>122.30571006663922</v>
      </c>
      <c r="Y668" s="28"/>
      <c r="Z668" s="28"/>
      <c r="AK668" s="28"/>
      <c r="AS668" s="28"/>
      <c r="AT668" s="28"/>
    </row>
    <row r="669" spans="3:46" x14ac:dyDescent="0.15">
      <c r="C669" s="11">
        <v>2.2601187229156494E-3</v>
      </c>
      <c r="D669" s="11">
        <v>1.3705417513847351E-2</v>
      </c>
      <c r="E669" s="11">
        <v>0.21440720701522253</v>
      </c>
      <c r="F669" s="11">
        <v>0</v>
      </c>
      <c r="G669" s="11">
        <v>5.3993254899978638E-2</v>
      </c>
      <c r="H669" s="40">
        <v>3.6721336880769654E-4</v>
      </c>
      <c r="I669" s="40">
        <v>1.5254549091535727</v>
      </c>
      <c r="J669" s="59">
        <v>0</v>
      </c>
      <c r="K669" s="59">
        <v>4482.5882650911808</v>
      </c>
      <c r="L669" s="59">
        <v>0</v>
      </c>
      <c r="M669" s="11">
        <v>0.86391210556030273</v>
      </c>
      <c r="N669" s="11">
        <v>0.71204531192779541</v>
      </c>
      <c r="O669" s="11">
        <v>0.31901037693023682</v>
      </c>
      <c r="Q669" s="59">
        <v>15.148358461797958</v>
      </c>
      <c r="R669" s="78">
        <v>502.71765264929473</v>
      </c>
      <c r="S669" s="78">
        <v>15.208499460146513</v>
      </c>
      <c r="T669" s="78">
        <v>602.66989558718171</v>
      </c>
      <c r="U669" s="78">
        <v>6.0140998348554575E-2</v>
      </c>
      <c r="V669" s="78">
        <v>99.952242937886979</v>
      </c>
      <c r="Y669" s="28"/>
      <c r="Z669" s="28"/>
      <c r="AK669" s="28"/>
      <c r="AS669" s="28"/>
      <c r="AT669" s="28"/>
    </row>
    <row r="670" spans="3:46" x14ac:dyDescent="0.15">
      <c r="C670" s="11">
        <v>1.7257928848266602E-2</v>
      </c>
      <c r="D670" s="11">
        <v>1.8934816122055054E-2</v>
      </c>
      <c r="E670" s="11">
        <v>0.27440705603928123</v>
      </c>
      <c r="F670" s="11">
        <v>0</v>
      </c>
      <c r="G670" s="11">
        <v>2.2908508777618408E-2</v>
      </c>
      <c r="H670" s="40">
        <v>5.6432790017905943E-4</v>
      </c>
      <c r="I670" s="40">
        <v>1.4225691661122946</v>
      </c>
      <c r="J670" s="59">
        <v>0</v>
      </c>
      <c r="K670" s="59">
        <v>3836.6625085473061</v>
      </c>
      <c r="L670" s="59">
        <v>0</v>
      </c>
      <c r="M670" s="11">
        <v>0.83041447401046753</v>
      </c>
      <c r="N670" s="11">
        <v>0.70333325862884521</v>
      </c>
      <c r="O670" s="11">
        <v>0.32280641794204712</v>
      </c>
      <c r="Q670" s="59">
        <v>14.343031424527688</v>
      </c>
      <c r="R670" s="78">
        <v>482.44794830276214</v>
      </c>
      <c r="S670" s="78">
        <v>14.394864531469645</v>
      </c>
      <c r="T670" s="78">
        <v>603.65301724087806</v>
      </c>
      <c r="U670" s="78">
        <v>5.1833106941957752E-2</v>
      </c>
      <c r="V670" s="78">
        <v>121.20506893811591</v>
      </c>
      <c r="Y670" s="28"/>
      <c r="Z670" s="28"/>
      <c r="AK670" s="28"/>
      <c r="AS670" s="28"/>
      <c r="AT670" s="28"/>
    </row>
    <row r="671" spans="3:46" x14ac:dyDescent="0.15">
      <c r="C671" s="11">
        <v>2.0030826330184937E-2</v>
      </c>
      <c r="D671" s="11">
        <v>1.7103105783462524E-2</v>
      </c>
      <c r="E671" s="11">
        <v>0.300794568963828</v>
      </c>
      <c r="F671" s="11">
        <v>0</v>
      </c>
      <c r="G671" s="11">
        <v>1.2148916721343994E-2</v>
      </c>
      <c r="H671" s="40">
        <v>2.6678333361513621E-4</v>
      </c>
      <c r="I671" s="40">
        <v>1.5644684934594031</v>
      </c>
      <c r="J671" s="59">
        <v>0</v>
      </c>
      <c r="K671" s="59">
        <v>6538.4013578295708</v>
      </c>
      <c r="L671" s="59">
        <v>0</v>
      </c>
      <c r="M671" s="11">
        <v>0.85166317224502563</v>
      </c>
      <c r="N671" s="11">
        <v>0.72158312797546387</v>
      </c>
      <c r="O671" s="11">
        <v>0.27920085191726685</v>
      </c>
      <c r="Q671" s="59">
        <v>14.688475228274987</v>
      </c>
      <c r="R671" s="78">
        <v>495.85404460549228</v>
      </c>
      <c r="S671" s="78">
        <v>14.725741229210991</v>
      </c>
      <c r="T671" s="78">
        <v>610.00412639933973</v>
      </c>
      <c r="U671" s="78">
        <v>3.7266000936003962E-2</v>
      </c>
      <c r="V671" s="78">
        <v>114.15008179384745</v>
      </c>
      <c r="Y671" s="28"/>
      <c r="Z671" s="28"/>
      <c r="AK671" s="28"/>
      <c r="AS671" s="28"/>
      <c r="AT671" s="28"/>
    </row>
    <row r="672" spans="3:46" x14ac:dyDescent="0.15">
      <c r="C672" s="11">
        <v>1.3539910316467285E-2</v>
      </c>
      <c r="D672" s="11">
        <v>1.1456072330474854E-2</v>
      </c>
      <c r="E672" s="11">
        <v>0.27109479291526739</v>
      </c>
      <c r="F672" s="11">
        <v>0</v>
      </c>
      <c r="G672" s="11">
        <v>5.9052050113677979E-2</v>
      </c>
      <c r="H672" s="40">
        <v>4.639161657360323E-4</v>
      </c>
      <c r="I672" s="40">
        <v>1.3775929582453932</v>
      </c>
      <c r="J672" s="59">
        <v>0</v>
      </c>
      <c r="K672" s="59">
        <v>3951.8042467534542</v>
      </c>
      <c r="L672" s="59">
        <v>0</v>
      </c>
      <c r="M672" s="11">
        <v>0.86468011140823364</v>
      </c>
      <c r="N672" s="11">
        <v>0.72982990741729736</v>
      </c>
      <c r="O672" s="11">
        <v>0.27802783250808716</v>
      </c>
      <c r="Q672" s="59">
        <v>15.007131992518065</v>
      </c>
      <c r="R672" s="78">
        <v>473.98944401988729</v>
      </c>
      <c r="S672" s="78">
        <v>15.050236892782033</v>
      </c>
      <c r="T672" s="78">
        <v>600.91789566306261</v>
      </c>
      <c r="U672" s="78">
        <v>4.3104900263967849E-2</v>
      </c>
      <c r="V672" s="78">
        <v>126.92845164317532</v>
      </c>
      <c r="Y672" s="28"/>
      <c r="Z672" s="28"/>
      <c r="AK672" s="28"/>
      <c r="AS672" s="28"/>
      <c r="AT672" s="28"/>
    </row>
    <row r="673" spans="3:46" x14ac:dyDescent="0.15">
      <c r="C673" s="11">
        <v>2.8390049934387207E-2</v>
      </c>
      <c r="D673" s="11">
        <v>1.5724778175354004E-2</v>
      </c>
      <c r="E673" s="11">
        <v>0.18735884637166739</v>
      </c>
      <c r="F673" s="11">
        <v>0</v>
      </c>
      <c r="G673" s="11">
        <v>1.851847767829895E-2</v>
      </c>
      <c r="H673" s="40">
        <v>5.1387505260628793E-4</v>
      </c>
      <c r="I673" s="40">
        <v>1.4446500686403934</v>
      </c>
      <c r="J673" s="59">
        <v>0</v>
      </c>
      <c r="K673" s="59">
        <v>4458.2318514585495</v>
      </c>
      <c r="L673" s="59">
        <v>0</v>
      </c>
      <c r="M673" s="11">
        <v>0.81931233406066895</v>
      </c>
      <c r="N673" s="11">
        <v>0.68734347820281982</v>
      </c>
      <c r="O673" s="11">
        <v>0.30885231494903564</v>
      </c>
      <c r="Q673" s="59">
        <v>13.991796186609228</v>
      </c>
      <c r="R673" s="78">
        <v>490.30271066318136</v>
      </c>
      <c r="S673" s="78">
        <v>14.047881908639329</v>
      </c>
      <c r="T673" s="78">
        <v>597.35847365509517</v>
      </c>
      <c r="U673" s="78">
        <v>5.6085722030100982E-2</v>
      </c>
      <c r="V673" s="78">
        <v>107.05576299191381</v>
      </c>
      <c r="Y673" s="28"/>
      <c r="Z673" s="28"/>
      <c r="AK673" s="28"/>
      <c r="AS673" s="28"/>
      <c r="AT673" s="28"/>
    </row>
    <row r="674" spans="3:46" x14ac:dyDescent="0.15">
      <c r="C674" s="11">
        <v>2.8100967407226562E-2</v>
      </c>
      <c r="D674" s="11">
        <v>2.7458846569061279E-2</v>
      </c>
      <c r="E674" s="11">
        <v>0.24439418622535578</v>
      </c>
      <c r="F674" s="11">
        <v>0</v>
      </c>
      <c r="G674" s="11">
        <v>1.8190443515777588E-2</v>
      </c>
      <c r="H674" s="40">
        <v>4.5143048628176654E-4</v>
      </c>
      <c r="I674" s="40">
        <v>1.4937228589830343</v>
      </c>
      <c r="J674" s="59">
        <v>0</v>
      </c>
      <c r="K674" s="59">
        <v>5963.1676413118839</v>
      </c>
      <c r="L674" s="59">
        <v>0</v>
      </c>
      <c r="M674" s="11">
        <v>0.86778604984283447</v>
      </c>
      <c r="N674" s="11">
        <v>0.699737548828125</v>
      </c>
      <c r="O674" s="11">
        <v>0.28548872470855713</v>
      </c>
      <c r="Q674" s="59">
        <v>14.808314604212057</v>
      </c>
      <c r="R674" s="78">
        <v>524.2677742712367</v>
      </c>
      <c r="S674" s="78">
        <v>14.875267524300597</v>
      </c>
      <c r="T674" s="78">
        <v>611.37610669206811</v>
      </c>
      <c r="U674" s="78">
        <v>6.6952920088539258E-2</v>
      </c>
      <c r="V674" s="78">
        <v>87.108332420831402</v>
      </c>
      <c r="Y674" s="28"/>
      <c r="Z674" s="28"/>
      <c r="AK674" s="28"/>
      <c r="AS674" s="28"/>
      <c r="AT674" s="28"/>
    </row>
    <row r="675" spans="3:46" x14ac:dyDescent="0.15">
      <c r="C675" s="11">
        <v>1.7053291201591492E-2</v>
      </c>
      <c r="D675" s="11">
        <v>1.9980072975158691E-3</v>
      </c>
      <c r="E675" s="11">
        <v>0.33885840290578689</v>
      </c>
      <c r="F675" s="11">
        <v>0</v>
      </c>
      <c r="G675" s="11">
        <v>1.7945706844329834E-2</v>
      </c>
      <c r="H675" s="40">
        <v>5.1493162720812392E-4</v>
      </c>
      <c r="I675" s="40">
        <v>1.4753319162379359</v>
      </c>
      <c r="J675" s="59">
        <v>0</v>
      </c>
      <c r="K675" s="59">
        <v>7683.6533844470978</v>
      </c>
      <c r="L675" s="59">
        <v>0</v>
      </c>
      <c r="M675" s="11">
        <v>0.88037747144699097</v>
      </c>
      <c r="N675" s="11">
        <v>0.77969473600387573</v>
      </c>
      <c r="O675" s="11">
        <v>0.28747573494911194</v>
      </c>
      <c r="Q675" s="59">
        <v>15.220401457771775</v>
      </c>
      <c r="R675" s="78">
        <v>577.44694750583733</v>
      </c>
      <c r="S675" s="78">
        <v>15.262987318638803</v>
      </c>
      <c r="T675" s="78">
        <v>642.14534959631192</v>
      </c>
      <c r="U675" s="78">
        <v>4.2585860867028202E-2</v>
      </c>
      <c r="V675" s="78">
        <v>64.698402090474588</v>
      </c>
      <c r="Y675" s="28"/>
      <c r="Z675" s="28"/>
      <c r="AK675" s="28"/>
      <c r="AS675" s="28"/>
      <c r="AT675" s="28"/>
    </row>
    <row r="676" spans="3:46" x14ac:dyDescent="0.15">
      <c r="C676" s="11">
        <v>4.8117339611053467E-3</v>
      </c>
      <c r="D676" s="11">
        <v>2.9455900192260742E-2</v>
      </c>
      <c r="E676" s="11">
        <v>0.30333442111680009</v>
      </c>
      <c r="F676" s="11">
        <v>0</v>
      </c>
      <c r="G676" s="11">
        <v>2.739328145980835E-2</v>
      </c>
      <c r="H676" s="40">
        <v>5.5374209721912107E-4</v>
      </c>
      <c r="I676" s="40">
        <v>1.3226569282241238</v>
      </c>
      <c r="J676" s="59">
        <v>0</v>
      </c>
      <c r="K676" s="59">
        <v>3373.0547875165939</v>
      </c>
      <c r="L676" s="59">
        <v>0</v>
      </c>
      <c r="M676" s="11">
        <v>0.8811492919921875</v>
      </c>
      <c r="N676" s="11">
        <v>0.77344805002212524</v>
      </c>
      <c r="O676" s="11">
        <v>0.33345997333526611</v>
      </c>
      <c r="Q676" s="59">
        <v>15.436171635652673</v>
      </c>
      <c r="R676" s="78">
        <v>453.37813268445836</v>
      </c>
      <c r="S676" s="78">
        <v>15.473034248101024</v>
      </c>
      <c r="T676" s="78">
        <v>597.19937700211199</v>
      </c>
      <c r="U676" s="78">
        <v>3.6862612448350873E-2</v>
      </c>
      <c r="V676" s="78">
        <v>143.82124431765362</v>
      </c>
      <c r="Y676" s="28"/>
      <c r="Z676" s="28"/>
      <c r="AK676" s="28"/>
      <c r="AS676" s="28"/>
      <c r="AT676" s="28"/>
    </row>
    <row r="677" spans="3:46" x14ac:dyDescent="0.15">
      <c r="C677" s="11">
        <v>2.1409988403320312E-4</v>
      </c>
      <c r="D677" s="11">
        <v>2.3745626211166382E-2</v>
      </c>
      <c r="E677" s="11">
        <v>0.20431276425667805</v>
      </c>
      <c r="F677" s="11">
        <v>0</v>
      </c>
      <c r="G677" s="11">
        <v>6.5667629241943359E-3</v>
      </c>
      <c r="H677" s="40">
        <v>4.2426259315794259E-4</v>
      </c>
      <c r="I677" s="40">
        <v>1.4643593255034173</v>
      </c>
      <c r="J677" s="59">
        <v>0</v>
      </c>
      <c r="K677" s="59">
        <v>3606.2439903616905</v>
      </c>
      <c r="L677" s="59">
        <v>0</v>
      </c>
      <c r="M677" s="11">
        <v>0.78747820854187012</v>
      </c>
      <c r="N677" s="11">
        <v>0.71617972850799561</v>
      </c>
      <c r="O677" s="11">
        <v>0.28895634412765503</v>
      </c>
      <c r="Q677" s="59">
        <v>13.86238273785632</v>
      </c>
      <c r="R677" s="78">
        <v>459.19727055053283</v>
      </c>
      <c r="S677" s="78">
        <v>13.897489009706517</v>
      </c>
      <c r="T677" s="78">
        <v>592.52557252381564</v>
      </c>
      <c r="U677" s="78">
        <v>3.5106271850196435E-2</v>
      </c>
      <c r="V677" s="78">
        <v>133.32830197328281</v>
      </c>
      <c r="Y677" s="28"/>
      <c r="Z677" s="28"/>
      <c r="AK677" s="28"/>
      <c r="AS677" s="28"/>
      <c r="AT677" s="28"/>
    </row>
    <row r="678" spans="3:46" x14ac:dyDescent="0.15">
      <c r="C678" s="11">
        <v>9.3683302402496338E-3</v>
      </c>
      <c r="D678" s="11">
        <v>1.9885838031768799E-2</v>
      </c>
      <c r="E678" s="11">
        <v>0.30762425328445958</v>
      </c>
      <c r="F678" s="11">
        <v>0</v>
      </c>
      <c r="G678" s="11">
        <v>5.9676408767700195E-2</v>
      </c>
      <c r="H678" s="40">
        <v>5.5309128738565598E-4</v>
      </c>
      <c r="I678" s="40">
        <v>1.3873360237739116</v>
      </c>
      <c r="J678" s="59">
        <v>0</v>
      </c>
      <c r="K678" s="59">
        <v>6892.872042953968</v>
      </c>
      <c r="L678" s="59">
        <v>0</v>
      </c>
      <c r="M678" s="11">
        <v>0.86225399374961853</v>
      </c>
      <c r="N678" s="11">
        <v>0.73517066240310669</v>
      </c>
      <c r="O678" s="11">
        <v>0.2777177095413208</v>
      </c>
      <c r="Q678" s="59">
        <v>15.014386190419813</v>
      </c>
      <c r="R678" s="78">
        <v>565.17999484691313</v>
      </c>
      <c r="S678" s="78">
        <v>15.064890374238592</v>
      </c>
      <c r="T678" s="78">
        <v>632.32170782342791</v>
      </c>
      <c r="U678" s="78">
        <v>5.0504183818778969E-2</v>
      </c>
      <c r="V678" s="78">
        <v>67.141712976514782</v>
      </c>
      <c r="Y678" s="28"/>
      <c r="Z678" s="28"/>
      <c r="AK678" s="28"/>
      <c r="AS678" s="28"/>
      <c r="AT678" s="28"/>
    </row>
    <row r="679" spans="3:46" x14ac:dyDescent="0.15">
      <c r="C679" s="11">
        <v>8.3089321851730347E-3</v>
      </c>
      <c r="D679" s="11">
        <v>6.8851470947265625E-2</v>
      </c>
      <c r="E679" s="11">
        <v>0.23278113148011445</v>
      </c>
      <c r="F679" s="11">
        <v>0</v>
      </c>
      <c r="G679" s="11">
        <v>2.7121424674987793E-2</v>
      </c>
      <c r="H679" s="40">
        <v>5.5595646153227044E-4</v>
      </c>
      <c r="I679" s="40">
        <v>1.4366744241639149</v>
      </c>
      <c r="J679" s="59">
        <v>0</v>
      </c>
      <c r="K679" s="59">
        <v>3679.618239402771</v>
      </c>
      <c r="L679" s="59">
        <v>0</v>
      </c>
      <c r="M679" s="11">
        <v>0.84315073490142822</v>
      </c>
      <c r="N679" s="11">
        <v>0.77948802709579468</v>
      </c>
      <c r="O679" s="11">
        <v>0.28810369968414307</v>
      </c>
      <c r="Q679" s="59">
        <v>14.696606006065668</v>
      </c>
      <c r="R679" s="78">
        <v>483.12703804026552</v>
      </c>
      <c r="S679" s="78">
        <v>14.752054682733352</v>
      </c>
      <c r="T679" s="78">
        <v>600.10388264908897</v>
      </c>
      <c r="U679" s="78">
        <v>5.5448676667683827E-2</v>
      </c>
      <c r="V679" s="78">
        <v>116.97684460882346</v>
      </c>
      <c r="Y679" s="28"/>
      <c r="Z679" s="28"/>
      <c r="AK679" s="28"/>
      <c r="AS679" s="28"/>
      <c r="AT679" s="28"/>
    </row>
    <row r="680" spans="3:46" x14ac:dyDescent="0.15">
      <c r="C680" s="11">
        <v>5.4230839014053345E-3</v>
      </c>
      <c r="D680" s="11">
        <v>1.6670256853103638E-2</v>
      </c>
      <c r="E680" s="11">
        <v>0.52567692330477656</v>
      </c>
      <c r="F680" s="11">
        <v>0</v>
      </c>
      <c r="G680" s="11">
        <v>3.0001908540725708E-2</v>
      </c>
      <c r="H680" s="40">
        <v>3.8363791047645783E-4</v>
      </c>
      <c r="I680" s="40">
        <v>1.45330746045637</v>
      </c>
      <c r="J680" s="59">
        <v>0</v>
      </c>
      <c r="K680" s="59">
        <v>8620.4521358013153</v>
      </c>
      <c r="L680" s="59">
        <v>0</v>
      </c>
      <c r="M680" s="11">
        <v>0.80969810485839844</v>
      </c>
      <c r="N680" s="11">
        <v>0.70123386383056641</v>
      </c>
      <c r="O680" s="11">
        <v>0.23712635040283203</v>
      </c>
      <c r="Q680" s="59">
        <v>14.172212688498576</v>
      </c>
      <c r="R680" s="78">
        <v>550.64989867516465</v>
      </c>
      <c r="S680" s="78">
        <v>14.196817492954217</v>
      </c>
      <c r="T680" s="78">
        <v>661.98210803207019</v>
      </c>
      <c r="U680" s="78">
        <v>2.4604804455641727E-2</v>
      </c>
      <c r="V680" s="78">
        <v>111.33220935690554</v>
      </c>
      <c r="Y680" s="28"/>
      <c r="Z680" s="28"/>
      <c r="AK680" s="28"/>
      <c r="AS680" s="28"/>
      <c r="AT680" s="28"/>
    </row>
    <row r="681" spans="3:46" x14ac:dyDescent="0.15">
      <c r="C681" s="11">
        <v>2.7476698160171509E-2</v>
      </c>
      <c r="D681" s="11">
        <v>5.6842803955078125E-2</v>
      </c>
      <c r="E681" s="11">
        <v>0.55960060802319034</v>
      </c>
      <c r="F681" s="11">
        <v>0</v>
      </c>
      <c r="G681" s="11">
        <v>0.10158634185791016</v>
      </c>
      <c r="H681" s="40">
        <v>3.8426160326909017E-4</v>
      </c>
      <c r="I681" s="40">
        <v>1.4179801762024151</v>
      </c>
      <c r="J681" s="59">
        <v>0</v>
      </c>
      <c r="K681" s="59">
        <v>8028.7829041481018</v>
      </c>
      <c r="L681" s="59">
        <v>0</v>
      </c>
      <c r="M681" s="11">
        <v>0.87330454587936401</v>
      </c>
      <c r="N681" s="11">
        <v>0.73082596063613892</v>
      </c>
      <c r="O681" s="11">
        <v>0.34061670303344727</v>
      </c>
      <c r="Q681" s="59">
        <v>14.930996475564045</v>
      </c>
      <c r="R681" s="78">
        <v>566.04329684785603</v>
      </c>
      <c r="S681" s="78">
        <v>14.961918408661603</v>
      </c>
      <c r="T681" s="78">
        <v>675.85664866635852</v>
      </c>
      <c r="U681" s="78">
        <v>3.0921933097557641E-2</v>
      </c>
      <c r="V681" s="78">
        <v>109.8133518185025</v>
      </c>
      <c r="Y681" s="28"/>
      <c r="Z681" s="28"/>
      <c r="AK681" s="28"/>
      <c r="AS681" s="28"/>
      <c r="AT681" s="28"/>
    </row>
    <row r="682" spans="3:46" x14ac:dyDescent="0.15">
      <c r="C682" s="11">
        <v>2.5349855422973633E-2</v>
      </c>
      <c r="D682" s="11">
        <v>3.6723852157592773E-2</v>
      </c>
      <c r="E682" s="11">
        <v>0.41502566417940528</v>
      </c>
      <c r="F682" s="11">
        <v>0</v>
      </c>
      <c r="G682" s="11">
        <v>4.0965497493743896E-2</v>
      </c>
      <c r="H682" s="40">
        <v>4.3495130066057607E-4</v>
      </c>
      <c r="I682" s="40">
        <v>1.3401739114437901</v>
      </c>
      <c r="J682" s="59">
        <v>0</v>
      </c>
      <c r="K682" s="59">
        <v>6743.94890666008</v>
      </c>
      <c r="L682" s="59">
        <v>0</v>
      </c>
      <c r="M682" s="11">
        <v>0.86079439520835876</v>
      </c>
      <c r="N682" s="11">
        <v>0.75196009874343872</v>
      </c>
      <c r="O682" s="11">
        <v>0.32390564680099487</v>
      </c>
      <c r="Q682" s="59">
        <v>14.773192838381869</v>
      </c>
      <c r="R682" s="78">
        <v>497.37808425777547</v>
      </c>
      <c r="S682" s="78">
        <v>14.799990755392905</v>
      </c>
      <c r="T682" s="78">
        <v>622.2140826134372</v>
      </c>
      <c r="U682" s="78">
        <v>2.6797917011036176E-2</v>
      </c>
      <c r="V682" s="78">
        <v>124.83599835566173</v>
      </c>
      <c r="Y682" s="28"/>
      <c r="Z682" s="28"/>
      <c r="AK682" s="28"/>
      <c r="AS682" s="28"/>
      <c r="AT682" s="28"/>
    </row>
    <row r="683" spans="3:46" x14ac:dyDescent="0.15">
      <c r="C683" s="11">
        <v>2.0087659358978271E-3</v>
      </c>
      <c r="D683" s="11">
        <v>1.6519308090209961E-2</v>
      </c>
      <c r="E683" s="11">
        <v>0.25879878194644129</v>
      </c>
      <c r="F683" s="11">
        <v>0</v>
      </c>
      <c r="G683" s="11">
        <v>9.5480680465698242E-3</v>
      </c>
      <c r="H683" s="40">
        <v>4.4687832208926205E-4</v>
      </c>
      <c r="I683" s="40">
        <v>1.5396598596369562</v>
      </c>
      <c r="J683" s="59">
        <v>0</v>
      </c>
      <c r="K683" s="59">
        <v>4212.8912173211575</v>
      </c>
      <c r="L683" s="59">
        <v>0</v>
      </c>
      <c r="M683" s="11">
        <v>0.85177019238471985</v>
      </c>
      <c r="N683" s="11">
        <v>0.70146965980529785</v>
      </c>
      <c r="O683" s="11">
        <v>0.27425849437713623</v>
      </c>
      <c r="Q683" s="59">
        <v>14.923777211248275</v>
      </c>
      <c r="R683" s="78">
        <v>495.40076792509387</v>
      </c>
      <c r="S683" s="78">
        <v>14.990938486150453</v>
      </c>
      <c r="T683" s="78">
        <v>605.75506516883593</v>
      </c>
      <c r="U683" s="78">
        <v>6.7161274902177936E-2</v>
      </c>
      <c r="V683" s="78">
        <v>110.35429724374205</v>
      </c>
      <c r="Y683" s="28"/>
      <c r="Z683" s="28"/>
      <c r="AK683" s="28"/>
      <c r="AS683" s="28"/>
      <c r="AT683" s="28"/>
    </row>
    <row r="684" spans="3:46" x14ac:dyDescent="0.15">
      <c r="C684" s="11">
        <v>1.361548900604248E-2</v>
      </c>
      <c r="D684" s="11">
        <v>1.8618077039718628E-2</v>
      </c>
      <c r="E684" s="11">
        <v>0.23261280420644159</v>
      </c>
      <c r="F684" s="11">
        <v>0</v>
      </c>
      <c r="G684" s="11">
        <v>3.3941119909286499E-2</v>
      </c>
      <c r="H684" s="40">
        <v>3.9963274814347591E-4</v>
      </c>
      <c r="I684" s="40">
        <v>1.4901903061083266</v>
      </c>
      <c r="J684" s="59">
        <v>0</v>
      </c>
      <c r="K684" s="59">
        <v>4050.0704199075699</v>
      </c>
      <c r="L684" s="59">
        <v>0</v>
      </c>
      <c r="M684" s="11">
        <v>0.84485000371932983</v>
      </c>
      <c r="N684" s="11">
        <v>0.77471655607223511</v>
      </c>
      <c r="O684" s="11">
        <v>0.27379357814788818</v>
      </c>
      <c r="Q684" s="59">
        <v>14.669324323564616</v>
      </c>
      <c r="R684" s="78">
        <v>480.26501294579356</v>
      </c>
      <c r="S684" s="78">
        <v>14.707920306903477</v>
      </c>
      <c r="T684" s="78">
        <v>599.36301730646312</v>
      </c>
      <c r="U684" s="78">
        <v>3.8595983338860052E-2</v>
      </c>
      <c r="V684" s="78">
        <v>119.09800436066956</v>
      </c>
      <c r="Y684" s="28"/>
      <c r="Z684" s="28"/>
      <c r="AK684" s="28"/>
      <c r="AS684" s="28"/>
      <c r="AT684" s="28"/>
    </row>
    <row r="685" spans="3:46" x14ac:dyDescent="0.15">
      <c r="C685" s="11">
        <v>9.2899203300476074E-3</v>
      </c>
      <c r="D685" s="11">
        <v>1.0306686162948608E-2</v>
      </c>
      <c r="E685" s="11">
        <v>0.1573369358202801</v>
      </c>
      <c r="F685" s="11">
        <v>0</v>
      </c>
      <c r="G685" s="11">
        <v>3.2740652561187744E-2</v>
      </c>
      <c r="H685" s="40">
        <v>4.6107663480699656E-4</v>
      </c>
      <c r="I685" s="40">
        <v>1.475587648440462</v>
      </c>
      <c r="J685" s="59">
        <v>0</v>
      </c>
      <c r="K685" s="59">
        <v>6120.6682585179806</v>
      </c>
      <c r="L685" s="59">
        <v>0</v>
      </c>
      <c r="M685" s="11">
        <v>0.86930525302886963</v>
      </c>
      <c r="N685" s="11">
        <v>0.73528575897216797</v>
      </c>
      <c r="O685" s="11">
        <v>0.26964843273162842</v>
      </c>
      <c r="Q685" s="59">
        <v>15.137271480687836</v>
      </c>
      <c r="R685" s="78">
        <v>537.80892443095593</v>
      </c>
      <c r="S685" s="78">
        <v>15.200331158914171</v>
      </c>
      <c r="T685" s="78">
        <v>602.02995714145982</v>
      </c>
      <c r="U685" s="78">
        <v>6.3059678226334626E-2</v>
      </c>
      <c r="V685" s="78">
        <v>64.221032710503891</v>
      </c>
      <c r="Y685" s="28"/>
      <c r="Z685" s="28"/>
      <c r="AK685" s="28"/>
      <c r="AS685" s="28"/>
      <c r="AT685" s="28"/>
    </row>
    <row r="686" spans="3:46" x14ac:dyDescent="0.15">
      <c r="C686" s="11">
        <v>1.7726898193359375E-2</v>
      </c>
      <c r="D686" s="11">
        <v>8.2810521125793457E-3</v>
      </c>
      <c r="E686" s="11">
        <v>0.58458854745588062</v>
      </c>
      <c r="F686" s="11">
        <v>0</v>
      </c>
      <c r="G686" s="11">
        <v>3.2932937145233154E-2</v>
      </c>
      <c r="H686" s="40">
        <v>5.6265806602650691E-4</v>
      </c>
      <c r="I686" s="40">
        <v>1.4276700524155213</v>
      </c>
      <c r="J686" s="59">
        <v>0</v>
      </c>
      <c r="K686" s="59">
        <v>7760.4502439498901</v>
      </c>
      <c r="L686" s="59">
        <v>0</v>
      </c>
      <c r="M686" s="11">
        <v>0.85519576072692871</v>
      </c>
      <c r="N686" s="11">
        <v>0.69083905220031738</v>
      </c>
      <c r="O686" s="11">
        <v>0.33849215507507324</v>
      </c>
      <c r="Q686" s="59">
        <v>14.753813359319162</v>
      </c>
      <c r="R686" s="78">
        <v>585.80321572476555</v>
      </c>
      <c r="S686" s="78">
        <v>14.788302398337603</v>
      </c>
      <c r="T686" s="78">
        <v>692.13396962672914</v>
      </c>
      <c r="U686" s="78">
        <v>3.4489039018440693E-2</v>
      </c>
      <c r="V686" s="78">
        <v>106.33075390196359</v>
      </c>
      <c r="Y686" s="28"/>
      <c r="Z686" s="28"/>
      <c r="AK686" s="28"/>
      <c r="AS686" s="28"/>
      <c r="AT686" s="28"/>
    </row>
    <row r="687" spans="3:46" x14ac:dyDescent="0.15">
      <c r="C687" s="11">
        <v>4.9040615558624268E-3</v>
      </c>
      <c r="D687" s="11">
        <v>1.2464791536331177E-2</v>
      </c>
      <c r="E687" s="11">
        <v>0.26900808416762778</v>
      </c>
      <c r="F687" s="11">
        <v>0</v>
      </c>
      <c r="G687" s="11">
        <v>3.5674989223480225E-2</v>
      </c>
      <c r="H687" s="40">
        <v>3.5015090828561797E-4</v>
      </c>
      <c r="I687" s="40">
        <v>1.4208259392257168</v>
      </c>
      <c r="J687" s="59">
        <v>0</v>
      </c>
      <c r="K687" s="59">
        <v>5419.9411533772945</v>
      </c>
      <c r="L687" s="59">
        <v>0</v>
      </c>
      <c r="M687" s="11">
        <v>0.84367591142654419</v>
      </c>
      <c r="N687" s="11">
        <v>0.71514487266540527</v>
      </c>
      <c r="O687" s="11">
        <v>0.30060464143753052</v>
      </c>
      <c r="Q687" s="59">
        <v>14.782497478734362</v>
      </c>
      <c r="R687" s="78">
        <v>478.62794836666035</v>
      </c>
      <c r="S687" s="78">
        <v>14.816536182912083</v>
      </c>
      <c r="T687" s="78">
        <v>601.98562916584763</v>
      </c>
      <c r="U687" s="78">
        <v>3.4038704177721257E-2</v>
      </c>
      <c r="V687" s="78">
        <v>123.35768079918728</v>
      </c>
      <c r="Y687" s="28"/>
      <c r="Z687" s="28"/>
      <c r="AK687" s="28"/>
      <c r="AS687" s="28"/>
      <c r="AT687" s="28"/>
    </row>
    <row r="688" spans="3:46" x14ac:dyDescent="0.15">
      <c r="C688" s="11">
        <v>8.3993375301361084E-3</v>
      </c>
      <c r="D688" s="11">
        <v>4.0627002716064453E-2</v>
      </c>
      <c r="E688" s="11">
        <v>0.26648873769099479</v>
      </c>
      <c r="F688" s="11">
        <v>0</v>
      </c>
      <c r="G688" s="11">
        <v>3.530314564704895E-2</v>
      </c>
      <c r="H688" s="40">
        <v>5.7990251867962722E-4</v>
      </c>
      <c r="I688" s="40">
        <v>1.3678864392534571</v>
      </c>
      <c r="J688" s="59">
        <v>0</v>
      </c>
      <c r="K688" s="59">
        <v>3959.0359665453434</v>
      </c>
      <c r="L688" s="59">
        <v>0</v>
      </c>
      <c r="M688" s="11">
        <v>0.87958681583404541</v>
      </c>
      <c r="N688" s="11">
        <v>0.73372286558151245</v>
      </c>
      <c r="O688" s="11">
        <v>0.27908861637115479</v>
      </c>
      <c r="Q688" s="59">
        <v>15.324929538307112</v>
      </c>
      <c r="R688" s="78">
        <v>480.15498097776111</v>
      </c>
      <c r="S688" s="78">
        <v>15.384181210838589</v>
      </c>
      <c r="T688" s="78">
        <v>602.26615918103028</v>
      </c>
      <c r="U688" s="78">
        <v>5.925167253147734E-2</v>
      </c>
      <c r="V688" s="78">
        <v>122.11117820326916</v>
      </c>
      <c r="Y688" s="28"/>
      <c r="Z688" s="28"/>
      <c r="AK688" s="28"/>
      <c r="AS688" s="28"/>
      <c r="AT688" s="28"/>
    </row>
    <row r="689" spans="3:46" x14ac:dyDescent="0.15">
      <c r="C689" s="11">
        <v>2.7172952890396118E-2</v>
      </c>
      <c r="D689" s="11">
        <v>1.3107389211654663E-2</v>
      </c>
      <c r="E689" s="11">
        <v>0.23498033889506575</v>
      </c>
      <c r="F689" s="11">
        <v>0</v>
      </c>
      <c r="G689" s="11">
        <v>2.7574539184570312E-2</v>
      </c>
      <c r="H689" s="40">
        <v>3.6942474191831707E-4</v>
      </c>
      <c r="I689" s="40">
        <v>1.595315763579892</v>
      </c>
      <c r="J689" s="59">
        <v>0</v>
      </c>
      <c r="K689" s="59">
        <v>5136.0460929572582</v>
      </c>
      <c r="L689" s="59">
        <v>0</v>
      </c>
      <c r="M689" s="11">
        <v>0.89807438850402832</v>
      </c>
      <c r="N689" s="11">
        <v>0.80676257610321045</v>
      </c>
      <c r="O689" s="11">
        <v>0.25951480865478516</v>
      </c>
      <c r="Q689" s="59">
        <v>15.360896716666435</v>
      </c>
      <c r="R689" s="78">
        <v>524.7257242845584</v>
      </c>
      <c r="S689" s="78">
        <v>15.415016916347975</v>
      </c>
      <c r="T689" s="78">
        <v>610.32710133118496</v>
      </c>
      <c r="U689" s="78">
        <v>5.4120199681539916E-2</v>
      </c>
      <c r="V689" s="78">
        <v>85.601377046626567</v>
      </c>
      <c r="Y689" s="28"/>
      <c r="Z689" s="28"/>
      <c r="AK689" s="28"/>
      <c r="AS689" s="28"/>
      <c r="AT689" s="28"/>
    </row>
    <row r="690" spans="3:46" x14ac:dyDescent="0.15">
      <c r="C690" s="11">
        <v>7.2128474712371826E-3</v>
      </c>
      <c r="D690" s="11">
        <v>2.510368824005127E-2</v>
      </c>
      <c r="E690" s="11">
        <v>0.36010627969302017</v>
      </c>
      <c r="F690" s="11">
        <v>0</v>
      </c>
      <c r="G690" s="11">
        <v>3.3260613679885864E-2</v>
      </c>
      <c r="H690" s="40">
        <v>3.1345845912270727E-4</v>
      </c>
      <c r="I690" s="40">
        <v>1.4972486821495998</v>
      </c>
      <c r="J690" s="59">
        <v>0</v>
      </c>
      <c r="K690" s="59">
        <v>6113.8952150940895</v>
      </c>
      <c r="L690" s="59">
        <v>0</v>
      </c>
      <c r="M690" s="11">
        <v>0.87320631742477417</v>
      </c>
      <c r="N690" s="11">
        <v>0.75444775819778442</v>
      </c>
      <c r="O690" s="11">
        <v>0.35855960845947266</v>
      </c>
      <c r="Q690" s="59">
        <v>15.260639580250823</v>
      </c>
      <c r="R690" s="78">
        <v>498.82191188417278</v>
      </c>
      <c r="S690" s="78">
        <v>15.293738179679131</v>
      </c>
      <c r="T690" s="78">
        <v>617.12110715311394</v>
      </c>
      <c r="U690" s="78">
        <v>3.3098599428308617E-2</v>
      </c>
      <c r="V690" s="78">
        <v>118.29919526894116</v>
      </c>
      <c r="Y690" s="28"/>
      <c r="Z690" s="28"/>
      <c r="AK690" s="28"/>
      <c r="AS690" s="28"/>
      <c r="AT690" s="28"/>
    </row>
    <row r="691" spans="3:46" x14ac:dyDescent="0.15">
      <c r="C691" s="11">
        <v>3.0072927474975586E-3</v>
      </c>
      <c r="D691" s="11">
        <v>1.4669999480247498E-2</v>
      </c>
      <c r="E691" s="11">
        <v>0.20919527656728451</v>
      </c>
      <c r="F691" s="11">
        <v>0</v>
      </c>
      <c r="G691" s="11">
        <v>5.9041321277618408E-2</v>
      </c>
      <c r="H691" s="40">
        <v>7.8802781615690612E-4</v>
      </c>
      <c r="I691" s="40">
        <v>1.2621793156038605</v>
      </c>
      <c r="J691" s="59">
        <v>0</v>
      </c>
      <c r="K691" s="59">
        <v>3915.1404052972794</v>
      </c>
      <c r="L691" s="59">
        <v>0</v>
      </c>
      <c r="M691" s="11">
        <v>0.85196012258529663</v>
      </c>
      <c r="N691" s="11">
        <v>0.74341320991516113</v>
      </c>
      <c r="O691" s="11">
        <v>0.3155817985534668</v>
      </c>
      <c r="Q691" s="59">
        <v>14.940624330903686</v>
      </c>
      <c r="R691" s="78">
        <v>490.89799255683567</v>
      </c>
      <c r="S691" s="78">
        <v>14.990072386928505</v>
      </c>
      <c r="T691" s="78">
        <v>599.54003000789589</v>
      </c>
      <c r="U691" s="78">
        <v>4.9448056024818499E-2</v>
      </c>
      <c r="V691" s="78">
        <v>108.64203745106022</v>
      </c>
      <c r="Y691" s="28"/>
      <c r="Z691" s="28"/>
      <c r="AK691" s="28"/>
      <c r="AS691" s="28"/>
      <c r="AT691" s="28"/>
    </row>
    <row r="692" spans="3:46" x14ac:dyDescent="0.15">
      <c r="C692" s="11">
        <v>2.7134984731674194E-2</v>
      </c>
      <c r="D692" s="11">
        <v>3.0443966388702393E-2</v>
      </c>
      <c r="E692" s="11">
        <v>0.27549683376803558</v>
      </c>
      <c r="F692" s="11">
        <v>0</v>
      </c>
      <c r="G692" s="11">
        <v>3.151780366897583E-2</v>
      </c>
      <c r="H692" s="40">
        <v>6.393396936387821E-4</v>
      </c>
      <c r="I692" s="40">
        <v>1.492648816122301</v>
      </c>
      <c r="J692" s="59">
        <v>0</v>
      </c>
      <c r="K692" s="59">
        <v>4171.708133071661</v>
      </c>
      <c r="L692" s="59">
        <v>0</v>
      </c>
      <c r="M692" s="11">
        <v>0.82938569784164429</v>
      </c>
      <c r="N692" s="11">
        <v>0.72142529487609863</v>
      </c>
      <c r="O692" s="11">
        <v>0.28263717889785767</v>
      </c>
      <c r="Q692" s="59">
        <v>14.153149250745008</v>
      </c>
      <c r="R692" s="78">
        <v>531.44636837394148</v>
      </c>
      <c r="S692" s="78">
        <v>14.224343860895067</v>
      </c>
      <c r="T692" s="78">
        <v>617.71864436805345</v>
      </c>
      <c r="U692" s="78">
        <v>7.1194610150058679E-2</v>
      </c>
      <c r="V692" s="78">
        <v>86.272275994111965</v>
      </c>
      <c r="Y692" s="28"/>
      <c r="Z692" s="28"/>
      <c r="AK692" s="28"/>
      <c r="AS692" s="28"/>
      <c r="AT692" s="28"/>
    </row>
    <row r="693" spans="3:46" x14ac:dyDescent="0.15">
      <c r="C693" s="11">
        <v>2.5511205196380615E-2</v>
      </c>
      <c r="D693" s="11">
        <v>6.5957605838775635E-3</v>
      </c>
      <c r="E693" s="11">
        <v>0.2537056977879999</v>
      </c>
      <c r="F693" s="11">
        <v>0</v>
      </c>
      <c r="G693" s="11">
        <v>2.7387410402297974E-2</v>
      </c>
      <c r="H693" s="40">
        <v>4.5982174831759573E-4</v>
      </c>
      <c r="I693" s="40">
        <v>1.5193264489157796</v>
      </c>
      <c r="J693" s="59">
        <v>0</v>
      </c>
      <c r="K693" s="59">
        <v>6533.8145941495895</v>
      </c>
      <c r="L693" s="59">
        <v>0</v>
      </c>
      <c r="M693" s="11">
        <v>0.86832553148269653</v>
      </c>
      <c r="N693" s="11">
        <v>0.79391157627105713</v>
      </c>
      <c r="O693" s="11">
        <v>0.34394598007202148</v>
      </c>
      <c r="Q693" s="59">
        <v>14.890377951131187</v>
      </c>
      <c r="R693" s="78">
        <v>559.88975415181187</v>
      </c>
      <c r="S693" s="78">
        <v>14.931914432258786</v>
      </c>
      <c r="T693" s="78">
        <v>621.86244311094413</v>
      </c>
      <c r="U693" s="78">
        <v>4.153648112759889E-2</v>
      </c>
      <c r="V693" s="78">
        <v>61.972688959132256</v>
      </c>
      <c r="Y693" s="28"/>
      <c r="Z693" s="28"/>
      <c r="AK693" s="28"/>
      <c r="AS693" s="28"/>
      <c r="AT693" s="28"/>
    </row>
    <row r="694" spans="3:46" x14ac:dyDescent="0.15">
      <c r="C694" s="11">
        <v>2.2339105606079102E-2</v>
      </c>
      <c r="D694" s="11">
        <v>1.3570219278335571E-2</v>
      </c>
      <c r="E694" s="11">
        <v>0.23845706957276444</v>
      </c>
      <c r="F694" s="11">
        <v>0</v>
      </c>
      <c r="G694" s="11">
        <v>5.182802677154541E-2</v>
      </c>
      <c r="H694" s="40">
        <v>3.8885855238015996E-4</v>
      </c>
      <c r="I694" s="40">
        <v>1.5646231118218066</v>
      </c>
      <c r="J694" s="59">
        <v>0</v>
      </c>
      <c r="K694" s="59">
        <v>3762.4547258019447</v>
      </c>
      <c r="L694" s="59">
        <v>0</v>
      </c>
      <c r="M694" s="11">
        <v>0.88144731521606445</v>
      </c>
      <c r="N694" s="11">
        <v>0.70834517478942871</v>
      </c>
      <c r="O694" s="11">
        <v>0.26674658060073853</v>
      </c>
      <c r="Q694" s="59">
        <v>15.121267042606139</v>
      </c>
      <c r="R694" s="78">
        <v>498.72695886425083</v>
      </c>
      <c r="S694" s="78">
        <v>15.197247340956386</v>
      </c>
      <c r="T694" s="78">
        <v>604.42752687486052</v>
      </c>
      <c r="U694" s="78">
        <v>7.5980298350247111E-2</v>
      </c>
      <c r="V694" s="78">
        <v>105.70056801060969</v>
      </c>
      <c r="Y694" s="28"/>
      <c r="Z694" s="28"/>
      <c r="AK694" s="28"/>
      <c r="AS694" s="28"/>
      <c r="AT694" s="28"/>
    </row>
    <row r="695" spans="3:46" x14ac:dyDescent="0.15">
      <c r="C695" s="11">
        <v>1.6998946666717529E-2</v>
      </c>
      <c r="D695" s="11">
        <v>1.1515244841575623E-2</v>
      </c>
      <c r="E695" s="11">
        <v>0.43598649807762335</v>
      </c>
      <c r="F695" s="11">
        <v>0</v>
      </c>
      <c r="G695" s="11">
        <v>1.2725591659545898E-2</v>
      </c>
      <c r="H695" s="40">
        <v>4.6839662452913028E-4</v>
      </c>
      <c r="I695" s="40">
        <v>1.4069508865286857</v>
      </c>
      <c r="J695" s="59">
        <v>0</v>
      </c>
      <c r="K695" s="59">
        <v>6334.804929792881</v>
      </c>
      <c r="L695" s="59">
        <v>0</v>
      </c>
      <c r="M695" s="11">
        <v>0.87651526927947998</v>
      </c>
      <c r="N695" s="11">
        <v>0.77913069725036621</v>
      </c>
      <c r="O695" s="11">
        <v>0.31333115696907043</v>
      </c>
      <c r="Q695" s="59">
        <v>15.171049266052362</v>
      </c>
      <c r="R695" s="78">
        <v>503.44850268136997</v>
      </c>
      <c r="S695" s="78">
        <v>15.197979758899848</v>
      </c>
      <c r="T695" s="78">
        <v>627.18223250857375</v>
      </c>
      <c r="U695" s="78">
        <v>2.693049284748561E-2</v>
      </c>
      <c r="V695" s="78">
        <v>123.73372982720377</v>
      </c>
      <c r="Y695" s="28"/>
      <c r="Z695" s="28"/>
      <c r="AK695" s="28"/>
      <c r="AS695" s="28"/>
      <c r="AT695" s="28"/>
    </row>
    <row r="696" spans="3:46" x14ac:dyDescent="0.15">
      <c r="C696" s="11">
        <v>3.6198556423187256E-2</v>
      </c>
      <c r="D696" s="11">
        <v>3.8569152355194092E-2</v>
      </c>
      <c r="E696" s="11">
        <v>0.24691005063498475</v>
      </c>
      <c r="F696" s="11">
        <v>0</v>
      </c>
      <c r="G696" s="11">
        <v>3.3644735813140869E-2</v>
      </c>
      <c r="H696" s="40">
        <v>4.6468280832593495E-4</v>
      </c>
      <c r="I696" s="40">
        <v>1.4808534787211016</v>
      </c>
      <c r="J696" s="59">
        <v>0</v>
      </c>
      <c r="K696" s="59">
        <v>5746.3906705379486</v>
      </c>
      <c r="L696" s="59">
        <v>0</v>
      </c>
      <c r="M696" s="11">
        <v>0.86380580067634583</v>
      </c>
      <c r="N696" s="11">
        <v>0.68746805191040039</v>
      </c>
      <c r="O696" s="11">
        <v>0.36895132064819336</v>
      </c>
      <c r="Q696" s="59">
        <v>14.613583743267904</v>
      </c>
      <c r="R696" s="78">
        <v>528.14154394261493</v>
      </c>
      <c r="S696" s="78">
        <v>14.682456103770679</v>
      </c>
      <c r="T696" s="78">
        <v>612.66192640867041</v>
      </c>
      <c r="U696" s="78">
        <v>6.887236050277501E-2</v>
      </c>
      <c r="V696" s="78">
        <v>84.52038246605548</v>
      </c>
      <c r="Y696" s="28"/>
      <c r="Z696" s="28"/>
      <c r="AK696" s="28"/>
      <c r="AS696" s="28"/>
      <c r="AT696" s="28"/>
    </row>
    <row r="697" spans="3:46" x14ac:dyDescent="0.15">
      <c r="C697" s="11">
        <v>3.2529681921005249E-2</v>
      </c>
      <c r="D697" s="11">
        <v>1.6216769814491272E-2</v>
      </c>
      <c r="E697" s="11">
        <v>0.58456661222120609</v>
      </c>
      <c r="F697" s="11">
        <v>0</v>
      </c>
      <c r="G697" s="11">
        <v>6.8106532096862793E-2</v>
      </c>
      <c r="H697" s="40">
        <v>4.535179089820067E-4</v>
      </c>
      <c r="I697" s="40">
        <v>1.4899808307520677</v>
      </c>
      <c r="J697" s="59">
        <v>0</v>
      </c>
      <c r="K697" s="59">
        <v>5390.5323147773743</v>
      </c>
      <c r="L697" s="59">
        <v>0</v>
      </c>
      <c r="M697" s="11">
        <v>0.85280853509902954</v>
      </c>
      <c r="N697" s="11">
        <v>0.79312396049499512</v>
      </c>
      <c r="O697" s="11">
        <v>0.33726346492767334</v>
      </c>
      <c r="Q697" s="59">
        <v>14.518650198737257</v>
      </c>
      <c r="R697" s="78">
        <v>543.77490009831297</v>
      </c>
      <c r="S697" s="78">
        <v>14.541153184613805</v>
      </c>
      <c r="T697" s="78">
        <v>667.3188885248212</v>
      </c>
      <c r="U697" s="78">
        <v>2.2502985876547754E-2</v>
      </c>
      <c r="V697" s="78">
        <v>123.54398842650824</v>
      </c>
      <c r="Y697" s="28"/>
      <c r="Z697" s="28"/>
      <c r="AK697" s="28"/>
      <c r="AS697" s="28"/>
      <c r="AT697" s="28"/>
    </row>
    <row r="698" spans="3:46" x14ac:dyDescent="0.15">
      <c r="C698" s="11">
        <v>4.9461245536804199E-2</v>
      </c>
      <c r="D698" s="11">
        <v>9.2921704053878784E-3</v>
      </c>
      <c r="E698" s="11">
        <v>0.21403078917739571</v>
      </c>
      <c r="F698" s="11">
        <v>0</v>
      </c>
      <c r="G698" s="11">
        <v>6.0961127281188965E-2</v>
      </c>
      <c r="H698" s="40">
        <v>3.367667972935322E-4</v>
      </c>
      <c r="I698" s="40">
        <v>1.5497656052119229</v>
      </c>
      <c r="J698" s="59">
        <v>0</v>
      </c>
      <c r="K698" s="59">
        <v>7355.4413393139839</v>
      </c>
      <c r="L698" s="59">
        <v>0</v>
      </c>
      <c r="M698" s="11">
        <v>0.87220096588134766</v>
      </c>
      <c r="N698" s="11">
        <v>0.76409226655960083</v>
      </c>
      <c r="O698" s="11">
        <v>0.35773682594299316</v>
      </c>
      <c r="Q698" s="59">
        <v>14.585852750416674</v>
      </c>
      <c r="R698" s="78">
        <v>567.00077342156897</v>
      </c>
      <c r="S698" s="78">
        <v>14.631469102818455</v>
      </c>
      <c r="T698" s="78">
        <v>616.59562857626725</v>
      </c>
      <c r="U698" s="78">
        <v>4.5616352401781413E-2</v>
      </c>
      <c r="V698" s="78">
        <v>49.59485515469828</v>
      </c>
      <c r="Y698" s="28"/>
      <c r="Z698" s="28"/>
      <c r="AK698" s="28"/>
      <c r="AS698" s="28"/>
      <c r="AT698" s="28"/>
    </row>
    <row r="699" spans="3:46" x14ac:dyDescent="0.15">
      <c r="C699" s="11">
        <v>8.4751099348068237E-3</v>
      </c>
      <c r="D699" s="11">
        <v>1.2099593877792358E-2</v>
      </c>
      <c r="E699" s="11">
        <v>0.47472283041130442</v>
      </c>
      <c r="F699" s="11">
        <v>0</v>
      </c>
      <c r="G699" s="11">
        <v>2.0882993936538696E-2</v>
      </c>
      <c r="H699" s="40">
        <v>4.0066688463040218E-4</v>
      </c>
      <c r="I699" s="40">
        <v>1.4859493148035994</v>
      </c>
      <c r="J699" s="59">
        <v>0</v>
      </c>
      <c r="K699" s="59">
        <v>5828.3936232328415</v>
      </c>
      <c r="L699" s="59">
        <v>0</v>
      </c>
      <c r="M699" s="11">
        <v>0.80055832862854004</v>
      </c>
      <c r="N699" s="11">
        <v>0.7457352876663208</v>
      </c>
      <c r="O699" s="11">
        <v>0.24235081672668457</v>
      </c>
      <c r="Q699" s="59">
        <v>13.979804218670195</v>
      </c>
      <c r="R699" s="78">
        <v>509.05931149896787</v>
      </c>
      <c r="S699" s="78">
        <v>14.001144398606515</v>
      </c>
      <c r="T699" s="78">
        <v>634.17283145831902</v>
      </c>
      <c r="U699" s="78">
        <v>2.1340179936320425E-2</v>
      </c>
      <c r="V699" s="78">
        <v>125.11351995935115</v>
      </c>
      <c r="Y699" s="28"/>
      <c r="Z699" s="28"/>
      <c r="AK699" s="28"/>
      <c r="AS699" s="28"/>
      <c r="AT699" s="28"/>
    </row>
    <row r="700" spans="3:46" x14ac:dyDescent="0.15">
      <c r="C700" s="11">
        <v>1.1699303984642029E-2</v>
      </c>
      <c r="D700" s="11">
        <v>1.7947494983673096E-2</v>
      </c>
      <c r="E700" s="11">
        <v>0.25793132948229808</v>
      </c>
      <c r="F700" s="11">
        <v>0</v>
      </c>
      <c r="G700" s="11">
        <v>4.6983599662780762E-2</v>
      </c>
      <c r="H700" s="40">
        <v>4.4057010553457873E-4</v>
      </c>
      <c r="I700" s="40">
        <v>1.3739529913571811</v>
      </c>
      <c r="J700" s="59">
        <v>0</v>
      </c>
      <c r="K700" s="59">
        <v>5211.1339755356312</v>
      </c>
      <c r="L700" s="59">
        <v>0</v>
      </c>
      <c r="M700" s="11">
        <v>0.80899906158447266</v>
      </c>
      <c r="N700" s="11">
        <v>0.74122923612594604</v>
      </c>
      <c r="O700" s="11">
        <v>0.26115047931671143</v>
      </c>
      <c r="Q700" s="59">
        <v>14.083241574433774</v>
      </c>
      <c r="R700" s="78">
        <v>487.6700689191498</v>
      </c>
      <c r="S700" s="78">
        <v>14.112350905786785</v>
      </c>
      <c r="T700" s="78">
        <v>603.41111842837176</v>
      </c>
      <c r="U700" s="78">
        <v>2.9109331353010859E-2</v>
      </c>
      <c r="V700" s="78">
        <v>115.74104950922197</v>
      </c>
      <c r="Y700" s="28"/>
      <c r="Z700" s="28"/>
      <c r="AK700" s="28"/>
      <c r="AS700" s="28"/>
      <c r="AT700" s="28"/>
    </row>
    <row r="701" spans="3:46" x14ac:dyDescent="0.15">
      <c r="C701" s="11">
        <v>1.3193696737289429E-2</v>
      </c>
      <c r="D701" s="11">
        <v>8.1526637077331543E-3</v>
      </c>
      <c r="E701" s="11">
        <v>0.257084160264763</v>
      </c>
      <c r="F701" s="11">
        <v>0</v>
      </c>
      <c r="G701" s="11">
        <v>1.6010105609893799E-2</v>
      </c>
      <c r="H701" s="40">
        <v>3.8965309780410954E-4</v>
      </c>
      <c r="I701" s="40">
        <v>1.3895205011227778</v>
      </c>
      <c r="J701" s="59">
        <v>0</v>
      </c>
      <c r="K701" s="59">
        <v>6252.9556453227997</v>
      </c>
      <c r="L701" s="59">
        <v>0</v>
      </c>
      <c r="M701" s="11">
        <v>0.84912973642349243</v>
      </c>
      <c r="N701" s="11">
        <v>0.69734275341033936</v>
      </c>
      <c r="O701" s="11">
        <v>0.31533601880073547</v>
      </c>
      <c r="Q701" s="59">
        <v>14.751764213060621</v>
      </c>
      <c r="R701" s="78">
        <v>481.8442840929543</v>
      </c>
      <c r="S701" s="78">
        <v>14.788039253710538</v>
      </c>
      <c r="T701" s="78">
        <v>601.80965839542762</v>
      </c>
      <c r="U701" s="78">
        <v>3.6275040649917045E-2</v>
      </c>
      <c r="V701" s="78">
        <v>119.96537430247332</v>
      </c>
      <c r="Y701" s="28"/>
      <c r="Z701" s="28"/>
      <c r="AK701" s="28"/>
      <c r="AS701" s="28"/>
      <c r="AT701" s="28"/>
    </row>
    <row r="702" spans="3:46" x14ac:dyDescent="0.15">
      <c r="C702" s="11">
        <v>1.263853907585144E-2</v>
      </c>
      <c r="D702" s="11">
        <v>2.1425396203994751E-2</v>
      </c>
      <c r="E702" s="11">
        <v>0.21171647345559011</v>
      </c>
      <c r="F702" s="11">
        <v>0</v>
      </c>
      <c r="G702" s="11">
        <v>3.6763131618499756E-2</v>
      </c>
      <c r="H702" s="40">
        <v>4.5489786265408993E-4</v>
      </c>
      <c r="I702" s="40">
        <v>1.4117405498894355</v>
      </c>
      <c r="J702" s="59">
        <v>0</v>
      </c>
      <c r="K702" s="59">
        <v>4587.3504132032394</v>
      </c>
      <c r="L702" s="59">
        <v>0</v>
      </c>
      <c r="M702" s="11">
        <v>0.83705693483352661</v>
      </c>
      <c r="N702" s="11">
        <v>0.7053753137588501</v>
      </c>
      <c r="O702" s="11">
        <v>0.26432967185974121</v>
      </c>
      <c r="Q702" s="59">
        <v>14.535831222436229</v>
      </c>
      <c r="R702" s="78">
        <v>483.9130393633672</v>
      </c>
      <c r="S702" s="78">
        <v>14.585075497284794</v>
      </c>
      <c r="T702" s="78">
        <v>598.28566706962931</v>
      </c>
      <c r="U702" s="78">
        <v>4.9244274848565084E-2</v>
      </c>
      <c r="V702" s="78">
        <v>114.37262770626211</v>
      </c>
      <c r="Y702" s="28"/>
      <c r="Z702" s="28"/>
      <c r="AK702" s="28"/>
      <c r="AS702" s="28"/>
      <c r="AT702" s="28"/>
    </row>
    <row r="703" spans="3:46" x14ac:dyDescent="0.15">
      <c r="C703" s="11">
        <v>4.6849489212036133E-2</v>
      </c>
      <c r="D703" s="11">
        <v>1.077347993850708E-2</v>
      </c>
      <c r="E703" s="11">
        <v>0.62248060701331653</v>
      </c>
      <c r="F703" s="11">
        <v>0</v>
      </c>
      <c r="G703" s="11">
        <v>6.4446926116943359E-2</v>
      </c>
      <c r="H703" s="40">
        <v>4.6820921057330437E-4</v>
      </c>
      <c r="I703" s="40">
        <v>1.4321481651817178</v>
      </c>
      <c r="J703" s="59">
        <v>0</v>
      </c>
      <c r="K703" s="59">
        <v>6631.2728449702263</v>
      </c>
      <c r="L703" s="59">
        <v>0</v>
      </c>
      <c r="M703" s="11">
        <v>0.80851364135742188</v>
      </c>
      <c r="N703" s="11">
        <v>0.82897520065307617</v>
      </c>
      <c r="O703" s="11">
        <v>0.34132826328277588</v>
      </c>
      <c r="Q703" s="59">
        <v>13.591614578441995</v>
      </c>
      <c r="R703" s="78">
        <v>550.72604324198073</v>
      </c>
      <c r="S703" s="78">
        <v>13.599261037262085</v>
      </c>
      <c r="T703" s="78">
        <v>677.21495968910415</v>
      </c>
      <c r="U703" s="78">
        <v>7.6464588200906292E-3</v>
      </c>
      <c r="V703" s="78">
        <v>126.48891644712342</v>
      </c>
      <c r="Y703" s="28"/>
      <c r="Z703" s="28"/>
      <c r="AK703" s="28"/>
      <c r="AS703" s="28"/>
      <c r="AT703" s="28"/>
    </row>
    <row r="704" spans="3:46" x14ac:dyDescent="0.15">
      <c r="C704" s="11">
        <v>1.5190809965133667E-2</v>
      </c>
      <c r="D704" s="11">
        <v>2.6901662349700928E-3</v>
      </c>
      <c r="E704" s="11">
        <v>0.29528719312570623</v>
      </c>
      <c r="F704" s="11">
        <v>0</v>
      </c>
      <c r="G704" s="11">
        <v>9.6014976501464844E-2</v>
      </c>
      <c r="H704" s="40">
        <v>5.6233996354380998E-4</v>
      </c>
      <c r="I704" s="40">
        <v>1.42839209628368</v>
      </c>
      <c r="J704" s="59">
        <v>0</v>
      </c>
      <c r="K704" s="59">
        <v>3605.4151132702827</v>
      </c>
      <c r="L704" s="59">
        <v>0</v>
      </c>
      <c r="M704" s="11">
        <v>0.84797674417495728</v>
      </c>
      <c r="N704" s="11">
        <v>0.73204106092453003</v>
      </c>
      <c r="O704" s="11">
        <v>0.27819210290908813</v>
      </c>
      <c r="Q704" s="59">
        <v>14.672926273971015</v>
      </c>
      <c r="R704" s="78">
        <v>512.81876510909342</v>
      </c>
      <c r="S704" s="78">
        <v>14.727379857410957</v>
      </c>
      <c r="T704" s="78">
        <v>614.59927852454348</v>
      </c>
      <c r="U704" s="78">
        <v>5.4453583439942221E-2</v>
      </c>
      <c r="V704" s="78">
        <v>101.78051341545006</v>
      </c>
      <c r="Y704" s="28"/>
      <c r="Z704" s="28"/>
      <c r="AK704" s="28"/>
      <c r="AS704" s="28"/>
      <c r="AT704" s="28"/>
    </row>
    <row r="705" spans="3:46" x14ac:dyDescent="0.15">
      <c r="C705" s="11">
        <v>3.592979907989502E-2</v>
      </c>
      <c r="D705" s="11">
        <v>2.376323938369751E-2</v>
      </c>
      <c r="E705" s="11">
        <v>0.27930358498913826</v>
      </c>
      <c r="F705" s="11">
        <v>0</v>
      </c>
      <c r="G705" s="11">
        <v>3.7541955709457397E-2</v>
      </c>
      <c r="H705" s="40">
        <v>3.6528654061205072E-4</v>
      </c>
      <c r="I705" s="40">
        <v>1.5048354303434832</v>
      </c>
      <c r="J705" s="59">
        <v>0</v>
      </c>
      <c r="K705" s="59">
        <v>4207.0564813911915</v>
      </c>
      <c r="L705" s="59">
        <v>0</v>
      </c>
      <c r="M705" s="11">
        <v>0.86247104406356812</v>
      </c>
      <c r="N705" s="11">
        <v>0.76385945081710815</v>
      </c>
      <c r="O705" s="11">
        <v>0.32497930526733398</v>
      </c>
      <c r="Q705" s="59">
        <v>14.631233293902872</v>
      </c>
      <c r="R705" s="78">
        <v>479.1079190474282</v>
      </c>
      <c r="S705" s="78">
        <v>14.671153065482519</v>
      </c>
      <c r="T705" s="78">
        <v>603.08724443179108</v>
      </c>
      <c r="U705" s="78">
        <v>3.9919771579647545E-2</v>
      </c>
      <c r="V705" s="78">
        <v>123.97932538436288</v>
      </c>
      <c r="Y705" s="28"/>
      <c r="Z705" s="28"/>
      <c r="AK705" s="28"/>
      <c r="AS705" s="28"/>
      <c r="AT705" s="28"/>
    </row>
    <row r="706" spans="3:46" x14ac:dyDescent="0.15">
      <c r="C706" s="11">
        <v>3.0305087566375732E-3</v>
      </c>
      <c r="D706" s="11">
        <v>5.3011476993560791E-3</v>
      </c>
      <c r="E706" s="11">
        <v>0.35724258351384564</v>
      </c>
      <c r="F706" s="11">
        <v>0</v>
      </c>
      <c r="G706" s="11">
        <v>3.3852279186248779E-2</v>
      </c>
      <c r="H706" s="40">
        <v>4.5401050062314843E-4</v>
      </c>
      <c r="I706" s="40">
        <v>1.4703404638343385</v>
      </c>
      <c r="J706" s="59">
        <v>0</v>
      </c>
      <c r="K706" s="59">
        <v>7014.2466574907303</v>
      </c>
      <c r="L706" s="59">
        <v>0</v>
      </c>
      <c r="M706" s="11">
        <v>0.86042928695678711</v>
      </c>
      <c r="N706" s="11">
        <v>0.77718913555145264</v>
      </c>
      <c r="O706" s="11">
        <v>0.31382730603218079</v>
      </c>
      <c r="Q706" s="59">
        <v>15.098862323844635</v>
      </c>
      <c r="R706" s="78">
        <v>556.06889015754871</v>
      </c>
      <c r="S706" s="78">
        <v>15.132851447267507</v>
      </c>
      <c r="T706" s="78">
        <v>637.65532542739629</v>
      </c>
      <c r="U706" s="78">
        <v>3.398912342287197E-2</v>
      </c>
      <c r="V706" s="78">
        <v>81.586435269847584</v>
      </c>
      <c r="Y706" s="28"/>
      <c r="Z706" s="28"/>
      <c r="AK706" s="28"/>
      <c r="AS706" s="28"/>
      <c r="AT706" s="28"/>
    </row>
    <row r="707" spans="3:46" x14ac:dyDescent="0.15">
      <c r="C707" s="11">
        <v>8.4642320871353149E-3</v>
      </c>
      <c r="D707" s="11">
        <v>6.2059164047241211E-3</v>
      </c>
      <c r="E707" s="11">
        <v>0.13749797961816737</v>
      </c>
      <c r="F707" s="11">
        <v>0</v>
      </c>
      <c r="G707" s="11">
        <v>1.9546478986740112E-2</v>
      </c>
      <c r="H707" s="40">
        <v>4.1984003005408616E-4</v>
      </c>
      <c r="I707" s="40">
        <v>1.4784923964137449</v>
      </c>
      <c r="J707" s="59">
        <v>0</v>
      </c>
      <c r="K707" s="59">
        <v>3810.4085251688957</v>
      </c>
      <c r="L707" s="59">
        <v>0</v>
      </c>
      <c r="M707" s="11">
        <v>0.84263074398040771</v>
      </c>
      <c r="N707" s="11">
        <v>0.75067579746246338</v>
      </c>
      <c r="O707" s="11">
        <v>0.27176958322525024</v>
      </c>
      <c r="Q707" s="59">
        <v>14.70578754211013</v>
      </c>
      <c r="R707" s="78">
        <v>470.53115471587626</v>
      </c>
      <c r="S707" s="78">
        <v>14.750586181331911</v>
      </c>
      <c r="T707" s="78">
        <v>589.70234405972849</v>
      </c>
      <c r="U707" s="78">
        <v>4.47986392217814E-2</v>
      </c>
      <c r="V707" s="78">
        <v>119.17118934385223</v>
      </c>
      <c r="Y707" s="28"/>
      <c r="Z707" s="28"/>
      <c r="AK707" s="28"/>
      <c r="AS707" s="28"/>
      <c r="AT707" s="28"/>
    </row>
    <row r="708" spans="3:46" x14ac:dyDescent="0.15">
      <c r="C708" s="11">
        <v>4.6973705291748047E-2</v>
      </c>
      <c r="D708" s="11">
        <v>1.7595887184143066E-3</v>
      </c>
      <c r="E708" s="11">
        <v>0.2228248532154605</v>
      </c>
      <c r="F708" s="11">
        <v>0</v>
      </c>
      <c r="G708" s="11">
        <v>8.1321954727172852E-2</v>
      </c>
      <c r="H708" s="40">
        <v>4.7953821663826408E-4</v>
      </c>
      <c r="I708" s="40">
        <v>1.5507035617758644</v>
      </c>
      <c r="J708" s="59">
        <v>0</v>
      </c>
      <c r="K708" s="59">
        <v>4954.2705528438091</v>
      </c>
      <c r="L708" s="59">
        <v>0</v>
      </c>
      <c r="M708" s="11">
        <v>0.85216748714447021</v>
      </c>
      <c r="N708" s="11">
        <v>0.81546878814697266</v>
      </c>
      <c r="O708" s="11">
        <v>0.27097499370574951</v>
      </c>
      <c r="Q708" s="59">
        <v>14.285685199437252</v>
      </c>
      <c r="R708" s="78">
        <v>574.75889168156289</v>
      </c>
      <c r="S708" s="78">
        <v>14.331627798619369</v>
      </c>
      <c r="T708" s="78">
        <v>620.13567295945461</v>
      </c>
      <c r="U708" s="78">
        <v>4.5942599182117405E-2</v>
      </c>
      <c r="V708" s="78">
        <v>45.376781277891723</v>
      </c>
      <c r="Y708" s="28"/>
      <c r="Z708" s="28"/>
      <c r="AK708" s="28"/>
      <c r="AS708" s="28"/>
      <c r="AT708" s="28"/>
    </row>
    <row r="709" spans="3:46" x14ac:dyDescent="0.15">
      <c r="C709" s="11">
        <v>3.6067306995391846E-2</v>
      </c>
      <c r="D709" s="11">
        <v>5.2442789077758789E-2</v>
      </c>
      <c r="E709" s="11">
        <v>0.23464707819170172</v>
      </c>
      <c r="F709" s="11">
        <v>0</v>
      </c>
      <c r="G709" s="11">
        <v>2.7640178799629211E-2</v>
      </c>
      <c r="H709" s="40">
        <v>4.0284012344231563E-4</v>
      </c>
      <c r="I709" s="40">
        <v>1.5561122040832742</v>
      </c>
      <c r="J709" s="59">
        <v>0</v>
      </c>
      <c r="K709" s="59">
        <v>6409.8183065652847</v>
      </c>
      <c r="L709" s="59">
        <v>0</v>
      </c>
      <c r="M709" s="11">
        <v>0.84134882688522339</v>
      </c>
      <c r="N709" s="11">
        <v>0.78778517246246338</v>
      </c>
      <c r="O709" s="11">
        <v>0.28080803155899048</v>
      </c>
      <c r="Q709" s="59">
        <v>14.260420057497534</v>
      </c>
      <c r="R709" s="78">
        <v>550.07357613170598</v>
      </c>
      <c r="S709" s="78">
        <v>14.309681970913555</v>
      </c>
      <c r="T709" s="78">
        <v>616.31333314353424</v>
      </c>
      <c r="U709" s="78">
        <v>4.9261913416021486E-2</v>
      </c>
      <c r="V709" s="78">
        <v>66.23975701182826</v>
      </c>
      <c r="Y709" s="28"/>
      <c r="Z709" s="28"/>
      <c r="AK709" s="28"/>
      <c r="AS709" s="28"/>
      <c r="AT709" s="28"/>
    </row>
    <row r="710" spans="3:46" x14ac:dyDescent="0.15">
      <c r="C710" s="11">
        <v>1.8521368503570557E-2</v>
      </c>
      <c r="D710" s="11">
        <v>4.3748021125793457E-3</v>
      </c>
      <c r="E710" s="11">
        <v>0.19544498195425802</v>
      </c>
      <c r="F710" s="11">
        <v>0</v>
      </c>
      <c r="G710" s="11">
        <v>2.9993921518325806E-2</v>
      </c>
      <c r="H710" s="40">
        <v>4.2156642982504964E-4</v>
      </c>
      <c r="I710" s="40">
        <v>1.3041898028138441</v>
      </c>
      <c r="J710" s="59">
        <v>0</v>
      </c>
      <c r="K710" s="59">
        <v>4066.1008097231388</v>
      </c>
      <c r="L710" s="59">
        <v>0</v>
      </c>
      <c r="M710" s="11">
        <v>0.81965732574462891</v>
      </c>
      <c r="N710" s="11">
        <v>0.77346307039260864</v>
      </c>
      <c r="O710" s="11">
        <v>0.30816724896430969</v>
      </c>
      <c r="Q710" s="59">
        <v>14.188292344124674</v>
      </c>
      <c r="R710" s="78">
        <v>446.14761716549799</v>
      </c>
      <c r="S710" s="78">
        <v>14.20565515944903</v>
      </c>
      <c r="T710" s="78">
        <v>589.27952208821353</v>
      </c>
      <c r="U710" s="78">
        <v>1.7362815324355907E-2</v>
      </c>
      <c r="V710" s="78">
        <v>143.13190492271553</v>
      </c>
      <c r="Y710" s="28"/>
      <c r="Z710" s="28"/>
      <c r="AK710" s="28"/>
      <c r="AS710" s="28"/>
      <c r="AT710" s="28"/>
    </row>
    <row r="711" spans="3:46" x14ac:dyDescent="0.15">
      <c r="C711" s="11">
        <v>5.2571296691894531E-3</v>
      </c>
      <c r="D711" s="11">
        <v>1.8236488103866577E-2</v>
      </c>
      <c r="E711" s="11">
        <v>0.2576303747918991</v>
      </c>
      <c r="F711" s="11">
        <v>0</v>
      </c>
      <c r="G711" s="11">
        <v>2.4477750062942505E-2</v>
      </c>
      <c r="H711" s="40">
        <v>4.7519815684057772E-4</v>
      </c>
      <c r="I711" s="40">
        <v>1.5572885321493561</v>
      </c>
      <c r="J711" s="59">
        <v>0</v>
      </c>
      <c r="K711" s="59">
        <v>4664.3707901239395</v>
      </c>
      <c r="L711" s="59">
        <v>0</v>
      </c>
      <c r="M711" s="11">
        <v>0.80768990516662598</v>
      </c>
      <c r="N711" s="11">
        <v>0.78232413530349731</v>
      </c>
      <c r="O711" s="11">
        <v>0.32331418991088867</v>
      </c>
      <c r="Q711" s="59">
        <v>14.14493580287737</v>
      </c>
      <c r="R711" s="78">
        <v>530.59831392346348</v>
      </c>
      <c r="S711" s="78">
        <v>14.179323412922841</v>
      </c>
      <c r="T711" s="78">
        <v>614.9555575113136</v>
      </c>
      <c r="U711" s="78">
        <v>3.4387610045470751E-2</v>
      </c>
      <c r="V711" s="78">
        <v>84.357243587850121</v>
      </c>
      <c r="Y711" s="28"/>
      <c r="Z711" s="28"/>
      <c r="AK711" s="28"/>
      <c r="AS711" s="28"/>
      <c r="AT711" s="28"/>
    </row>
    <row r="712" spans="3:46" x14ac:dyDescent="0.15">
      <c r="C712" s="11">
        <v>1.1602357029914856E-2</v>
      </c>
      <c r="D712" s="11">
        <v>1.0092735290527344E-2</v>
      </c>
      <c r="E712" s="11">
        <v>0.1979691915483239</v>
      </c>
      <c r="F712" s="11">
        <v>0</v>
      </c>
      <c r="G712" s="11">
        <v>4.0479153394699097E-2</v>
      </c>
      <c r="H712" s="40">
        <v>3.3933392848391718E-4</v>
      </c>
      <c r="I712" s="40">
        <v>1.5959541013899867</v>
      </c>
      <c r="J712" s="59">
        <v>0</v>
      </c>
      <c r="K712" s="59">
        <v>4382.2498992085457</v>
      </c>
      <c r="L712" s="59">
        <v>0</v>
      </c>
      <c r="M712" s="11">
        <v>0.86453354358673096</v>
      </c>
      <c r="N712" s="11">
        <v>0.73906195163726807</v>
      </c>
      <c r="O712" s="11">
        <v>0.30442020297050476</v>
      </c>
      <c r="Q712" s="59">
        <v>15.018020546965587</v>
      </c>
      <c r="R712" s="78">
        <v>505.89972573798843</v>
      </c>
      <c r="S712" s="78">
        <v>15.078289283371348</v>
      </c>
      <c r="T712" s="78">
        <v>601.57136154838975</v>
      </c>
      <c r="U712" s="78">
        <v>6.0268736405760137E-2</v>
      </c>
      <c r="V712" s="78">
        <v>95.671635810401312</v>
      </c>
      <c r="Y712" s="28"/>
      <c r="Z712" s="28"/>
      <c r="AK712" s="28"/>
      <c r="AS712" s="28"/>
      <c r="AT712" s="28"/>
    </row>
    <row r="713" spans="3:46" x14ac:dyDescent="0.15">
      <c r="C713" s="11">
        <v>1.2768983840942383E-2</v>
      </c>
      <c r="D713" s="11">
        <v>9.5778703689575195E-3</v>
      </c>
      <c r="E713" s="11">
        <v>0.41974855545896284</v>
      </c>
      <c r="F713" s="11">
        <v>0</v>
      </c>
      <c r="G713" s="11">
        <v>2.6703089475631714E-2</v>
      </c>
      <c r="H713" s="40">
        <v>3.3834583800348815E-4</v>
      </c>
      <c r="I713" s="40">
        <v>1.4732883687973062</v>
      </c>
      <c r="J713" s="59">
        <v>0</v>
      </c>
      <c r="K713" s="59">
        <v>6643.7991335988045</v>
      </c>
      <c r="L713" s="59">
        <v>0</v>
      </c>
      <c r="M713" s="11">
        <v>0.76943874359130859</v>
      </c>
      <c r="N713" s="11">
        <v>0.68507528305053711</v>
      </c>
      <c r="O713" s="11">
        <v>0.32478272914886475</v>
      </c>
      <c r="Q713" s="59">
        <v>13.380653387361752</v>
      </c>
      <c r="R713" s="78">
        <v>504.30531585171383</v>
      </c>
      <c r="S713" s="78">
        <v>13.401871581564661</v>
      </c>
      <c r="T713" s="78">
        <v>625.71574906249725</v>
      </c>
      <c r="U713" s="78">
        <v>2.1218194202909046E-2</v>
      </c>
      <c r="V713" s="78">
        <v>121.41043321078342</v>
      </c>
      <c r="Y713" s="28"/>
      <c r="Z713" s="28"/>
      <c r="AK713" s="28"/>
      <c r="AS713" s="28"/>
      <c r="AT713" s="28"/>
    </row>
    <row r="714" spans="3:46" x14ac:dyDescent="0.15">
      <c r="C714" s="11">
        <v>2.4048268795013428E-2</v>
      </c>
      <c r="D714" s="11">
        <v>1.9106060266494751E-2</v>
      </c>
      <c r="E714" s="11">
        <v>0.29473484822329721</v>
      </c>
      <c r="F714" s="11">
        <v>0</v>
      </c>
      <c r="G714" s="11">
        <v>5.0436645746231079E-2</v>
      </c>
      <c r="H714" s="40">
        <v>4.1213335566963948E-4</v>
      </c>
      <c r="I714" s="40">
        <v>1.5095934509842903</v>
      </c>
      <c r="J714" s="59">
        <v>0</v>
      </c>
      <c r="K714" s="59">
        <v>4083.2138620316982</v>
      </c>
      <c r="L714" s="59">
        <v>0</v>
      </c>
      <c r="M714" s="11">
        <v>0.85613429546356201</v>
      </c>
      <c r="N714" s="11">
        <v>0.75185698270797729</v>
      </c>
      <c r="O714" s="11">
        <v>0.3609156608581543</v>
      </c>
      <c r="Q714" s="59">
        <v>14.694246114301176</v>
      </c>
      <c r="R714" s="78">
        <v>495.76666162682125</v>
      </c>
      <c r="S714" s="78">
        <v>14.739395367822443</v>
      </c>
      <c r="T714" s="78">
        <v>609.436392278482</v>
      </c>
      <c r="U714" s="78">
        <v>4.514925352126653E-2</v>
      </c>
      <c r="V714" s="78">
        <v>113.66973065166076</v>
      </c>
      <c r="Y714" s="28"/>
      <c r="Z714" s="28"/>
      <c r="AK714" s="28"/>
      <c r="AS714" s="28"/>
      <c r="AT714" s="28"/>
    </row>
    <row r="715" spans="3:46" x14ac:dyDescent="0.15">
      <c r="C715" s="11">
        <v>1.1882662773132324E-2</v>
      </c>
      <c r="D715" s="11">
        <v>7.3778033256530762E-3</v>
      </c>
      <c r="E715" s="11">
        <v>0.25635928704527616</v>
      </c>
      <c r="F715" s="11">
        <v>0</v>
      </c>
      <c r="G715" s="11">
        <v>4.9102544784545898E-2</v>
      </c>
      <c r="H715" s="40">
        <v>3.743501699568784E-4</v>
      </c>
      <c r="I715" s="40">
        <v>1.6151063647949029</v>
      </c>
      <c r="J715" s="59">
        <v>0</v>
      </c>
      <c r="K715" s="59">
        <v>6366.6678033769131</v>
      </c>
      <c r="L715" s="59">
        <v>0</v>
      </c>
      <c r="M715" s="11">
        <v>0.87666362524032593</v>
      </c>
      <c r="N715" s="11">
        <v>0.77692604064941406</v>
      </c>
      <c r="O715" s="11">
        <v>0.28307116031646729</v>
      </c>
      <c r="Q715" s="59">
        <v>15.22052414614571</v>
      </c>
      <c r="R715" s="78">
        <v>591.19729414767255</v>
      </c>
      <c r="S715" s="78">
        <v>15.279871536782624</v>
      </c>
      <c r="T715" s="78">
        <v>630.58779492954761</v>
      </c>
      <c r="U715" s="78">
        <v>5.9347390636913744E-2</v>
      </c>
      <c r="V715" s="78">
        <v>39.390500781875062</v>
      </c>
      <c r="Y715" s="28"/>
      <c r="Z715" s="28"/>
      <c r="AK715" s="28"/>
      <c r="AS715" s="28"/>
      <c r="AT715" s="28"/>
    </row>
    <row r="716" spans="3:46" x14ac:dyDescent="0.15">
      <c r="C716" s="11">
        <v>6.3578188419342041E-3</v>
      </c>
      <c r="D716" s="11">
        <v>2.3076921701431274E-2</v>
      </c>
      <c r="E716" s="11">
        <v>0.22059824930737862</v>
      </c>
      <c r="F716" s="11">
        <v>0</v>
      </c>
      <c r="G716" s="11">
        <v>4.3666362762451172E-2</v>
      </c>
      <c r="H716" s="40">
        <v>5.3758949938940742E-4</v>
      </c>
      <c r="I716" s="40">
        <v>1.4111854842490454</v>
      </c>
      <c r="J716" s="59">
        <v>0</v>
      </c>
      <c r="K716" s="59">
        <v>5052.2596575319767</v>
      </c>
      <c r="L716" s="59">
        <v>0</v>
      </c>
      <c r="M716" s="11">
        <v>0.86660391092300415</v>
      </c>
      <c r="N716" s="11">
        <v>0.69352626800537109</v>
      </c>
      <c r="O716" s="11">
        <v>0.3028590977191925</v>
      </c>
      <c r="Q716" s="59">
        <v>15.121643663997562</v>
      </c>
      <c r="R716" s="78">
        <v>515.36465486564487</v>
      </c>
      <c r="S716" s="78">
        <v>15.190176839086512</v>
      </c>
      <c r="T716" s="78">
        <v>606.17934905447362</v>
      </c>
      <c r="U716" s="78">
        <v>6.853317508894996E-2</v>
      </c>
      <c r="V716" s="78">
        <v>90.814694188828753</v>
      </c>
      <c r="Y716" s="28"/>
      <c r="Z716" s="28"/>
      <c r="AK716" s="28"/>
      <c r="AS716" s="28"/>
      <c r="AT716" s="28"/>
    </row>
    <row r="717" spans="3:46" x14ac:dyDescent="0.15">
      <c r="C717" s="11">
        <v>1.7727196216583252E-2</v>
      </c>
      <c r="D717" s="11">
        <v>3.4048676490783691E-2</v>
      </c>
      <c r="E717" s="11">
        <v>0.23080430203997876</v>
      </c>
      <c r="F717" s="11">
        <v>0</v>
      </c>
      <c r="G717" s="11">
        <v>4.0232479572296143E-2</v>
      </c>
      <c r="H717" s="40">
        <v>2.6896624869003231E-4</v>
      </c>
      <c r="I717" s="40">
        <v>1.5657964133913167</v>
      </c>
      <c r="J717" s="59">
        <v>0</v>
      </c>
      <c r="K717" s="59">
        <v>4795.8153299987316</v>
      </c>
      <c r="L717" s="59">
        <v>0</v>
      </c>
      <c r="M717" s="11">
        <v>0.83517646789550781</v>
      </c>
      <c r="N717" s="11">
        <v>0.78744572401046753</v>
      </c>
      <c r="O717" s="11">
        <v>0.37161970138549805</v>
      </c>
      <c r="Q717" s="59">
        <v>14.452422115983907</v>
      </c>
      <c r="R717" s="78">
        <v>482.16981218571561</v>
      </c>
      <c r="S717" s="78">
        <v>14.481721205988723</v>
      </c>
      <c r="T717" s="78">
        <v>599.61340327114249</v>
      </c>
      <c r="U717" s="78">
        <v>2.9299090004816009E-2</v>
      </c>
      <c r="V717" s="78">
        <v>117.44359108542687</v>
      </c>
      <c r="Y717" s="28"/>
      <c r="Z717" s="28"/>
      <c r="AK717" s="28"/>
      <c r="AS717" s="28"/>
      <c r="AT717" s="28"/>
    </row>
    <row r="718" spans="3:46" x14ac:dyDescent="0.15">
      <c r="C718" s="11">
        <v>9.749680757522583E-3</v>
      </c>
      <c r="D718" s="11">
        <v>3.5995543003082275E-2</v>
      </c>
      <c r="E718" s="11">
        <v>0.52977019833496952</v>
      </c>
      <c r="F718" s="11">
        <v>0</v>
      </c>
      <c r="G718" s="11">
        <v>3.7035256624221802E-2</v>
      </c>
      <c r="H718" s="40">
        <v>6.3006205122753082E-4</v>
      </c>
      <c r="I718" s="40">
        <v>1.4024961042178246</v>
      </c>
      <c r="J718" s="59">
        <v>0</v>
      </c>
      <c r="K718" s="59">
        <v>3883.1401616334915</v>
      </c>
      <c r="L718" s="59">
        <v>0</v>
      </c>
      <c r="M718" s="11">
        <v>0.86848795413970947</v>
      </c>
      <c r="N718" s="11">
        <v>0.69889557361602783</v>
      </c>
      <c r="O718" s="11">
        <v>0.24735617637634277</v>
      </c>
      <c r="Q718" s="59">
        <v>15.085889623013824</v>
      </c>
      <c r="R718" s="78">
        <v>496.09000615597148</v>
      </c>
      <c r="S718" s="78">
        <v>15.134679074349357</v>
      </c>
      <c r="T718" s="78">
        <v>633.64761258564567</v>
      </c>
      <c r="U718" s="78">
        <v>4.8789451335533585E-2</v>
      </c>
      <c r="V718" s="78">
        <v>137.55760642967419</v>
      </c>
      <c r="Y718" s="28"/>
      <c r="Z718" s="28"/>
      <c r="AK718" s="28"/>
      <c r="AS718" s="28"/>
      <c r="AT718" s="28"/>
    </row>
    <row r="719" spans="3:46" x14ac:dyDescent="0.15">
      <c r="C719" s="11">
        <v>8.2379281520843506E-3</v>
      </c>
      <c r="D719" s="11">
        <v>1.8402099609375E-2</v>
      </c>
      <c r="E719" s="11">
        <v>0.36284062992174504</v>
      </c>
      <c r="F719" s="11">
        <v>0</v>
      </c>
      <c r="G719" s="11">
        <v>5.429995059967041E-2</v>
      </c>
      <c r="H719" s="40">
        <v>5.0902775955590483E-4</v>
      </c>
      <c r="I719" s="40">
        <v>1.400385351365274</v>
      </c>
      <c r="J719" s="59">
        <v>0</v>
      </c>
      <c r="K719" s="59">
        <v>5836.5706354379654</v>
      </c>
      <c r="L719" s="59">
        <v>0</v>
      </c>
      <c r="M719" s="11">
        <v>0.83185994625091553</v>
      </c>
      <c r="N719" s="11">
        <v>0.80102825164794922</v>
      </c>
      <c r="O719" s="11">
        <v>0.28752595186233521</v>
      </c>
      <c r="Q719" s="59">
        <v>14.53230846025761</v>
      </c>
      <c r="R719" s="78">
        <v>529.54009147327486</v>
      </c>
      <c r="S719" s="78">
        <v>14.557766808639064</v>
      </c>
      <c r="T719" s="78">
        <v>628.72975071914675</v>
      </c>
      <c r="U719" s="78">
        <v>2.5458348381453888E-2</v>
      </c>
      <c r="V719" s="78">
        <v>99.189659245871894</v>
      </c>
      <c r="Y719" s="28"/>
      <c r="Z719" s="28"/>
      <c r="AK719" s="28"/>
      <c r="AS719" s="28"/>
      <c r="AT719" s="28"/>
    </row>
    <row r="720" spans="3:46" x14ac:dyDescent="0.15">
      <c r="C720" s="11">
        <v>3.8441240787506104E-2</v>
      </c>
      <c r="D720" s="11">
        <v>9.6768885850906372E-3</v>
      </c>
      <c r="E720" s="11">
        <v>0.25728008774206029</v>
      </c>
      <c r="F720" s="11">
        <v>0</v>
      </c>
      <c r="G720" s="11">
        <v>6.5313816070556641E-2</v>
      </c>
      <c r="H720" s="40">
        <v>4.5163989942089713E-4</v>
      </c>
      <c r="I720" s="40">
        <v>1.4342465207431803</v>
      </c>
      <c r="J720" s="59">
        <v>0</v>
      </c>
      <c r="K720" s="59">
        <v>5570.6105194985867</v>
      </c>
      <c r="L720" s="59">
        <v>0</v>
      </c>
      <c r="M720" s="11">
        <v>0.84055912494659424</v>
      </c>
      <c r="N720" s="11">
        <v>0.77335059642791748</v>
      </c>
      <c r="O720" s="11">
        <v>0.29714637994766235</v>
      </c>
      <c r="Q720" s="59">
        <v>14.229663077541641</v>
      </c>
      <c r="R720" s="78">
        <v>523.5190716588703</v>
      </c>
      <c r="S720" s="78">
        <v>14.264286604303773</v>
      </c>
      <c r="T720" s="78">
        <v>612.75344641207937</v>
      </c>
      <c r="U720" s="78">
        <v>3.4623526762132428E-2</v>
      </c>
      <c r="V720" s="78">
        <v>89.234374753209067</v>
      </c>
      <c r="Y720" s="28"/>
      <c r="Z720" s="28"/>
      <c r="AK720" s="28"/>
      <c r="AS720" s="28"/>
      <c r="AT720" s="28"/>
    </row>
    <row r="721" spans="3:46" x14ac:dyDescent="0.15">
      <c r="C721" s="11">
        <v>7.1388930082321167E-3</v>
      </c>
      <c r="D721" s="11">
        <v>2.873539924621582E-2</v>
      </c>
      <c r="E721" s="11">
        <v>0.24529084246565394</v>
      </c>
      <c r="F721" s="11">
        <v>0</v>
      </c>
      <c r="G721" s="11">
        <v>5.0320893526077271E-2</v>
      </c>
      <c r="H721" s="40">
        <v>4.2882942097297044E-4</v>
      </c>
      <c r="I721" s="40">
        <v>1.4626933391827286</v>
      </c>
      <c r="J721" s="59">
        <v>0</v>
      </c>
      <c r="K721" s="59">
        <v>3439.7165291011333</v>
      </c>
      <c r="L721" s="59">
        <v>0</v>
      </c>
      <c r="M721" s="11">
        <v>0.84167969226837158</v>
      </c>
      <c r="N721" s="11">
        <v>0.73066431283950806</v>
      </c>
      <c r="O721" s="11">
        <v>0.32836979627609253</v>
      </c>
      <c r="Q721" s="59">
        <v>14.696038134906109</v>
      </c>
      <c r="R721" s="78">
        <v>472.99119135072499</v>
      </c>
      <c r="S721" s="78">
        <v>14.744763397587484</v>
      </c>
      <c r="T721" s="78">
        <v>598.64628904055246</v>
      </c>
      <c r="U721" s="78">
        <v>4.8725262681374559E-2</v>
      </c>
      <c r="V721" s="78">
        <v>125.65509768982747</v>
      </c>
      <c r="Y721" s="28"/>
      <c r="Z721" s="28"/>
      <c r="AK721" s="28"/>
      <c r="AS721" s="28"/>
      <c r="AT721" s="28"/>
    </row>
    <row r="722" spans="3:46" x14ac:dyDescent="0.15">
      <c r="C722" s="11">
        <v>6.3180923461914062E-4</v>
      </c>
      <c r="D722" s="11">
        <v>2.1395966410636902E-2</v>
      </c>
      <c r="E722" s="11">
        <v>0.2094371509010326</v>
      </c>
      <c r="F722" s="11">
        <v>0</v>
      </c>
      <c r="G722" s="11">
        <v>2.9613345861434937E-2</v>
      </c>
      <c r="H722" s="40">
        <v>4.0303757338788798E-4</v>
      </c>
      <c r="I722" s="40">
        <v>1.4789253784090577</v>
      </c>
      <c r="J722" s="59">
        <v>0</v>
      </c>
      <c r="K722" s="59">
        <v>3571.4800469577312</v>
      </c>
      <c r="L722" s="59">
        <v>0</v>
      </c>
      <c r="M722" s="11">
        <v>0.8628157377243042</v>
      </c>
      <c r="N722" s="11">
        <v>0.7422223687171936</v>
      </c>
      <c r="O722" s="11">
        <v>0.29734364151954651</v>
      </c>
      <c r="Q722" s="59">
        <v>15.166364342934235</v>
      </c>
      <c r="R722" s="78">
        <v>467.46866822524095</v>
      </c>
      <c r="S722" s="78">
        <v>15.217062128762326</v>
      </c>
      <c r="T722" s="78">
        <v>594.61546218925776</v>
      </c>
      <c r="U722" s="78">
        <v>5.0697785828090147E-2</v>
      </c>
      <c r="V722" s="78">
        <v>127.14679396401681</v>
      </c>
      <c r="Y722" s="28"/>
      <c r="Z722" s="28"/>
      <c r="AK722" s="28"/>
      <c r="AS722" s="28"/>
      <c r="AT722" s="28"/>
    </row>
    <row r="723" spans="3:46" x14ac:dyDescent="0.15">
      <c r="C723" s="11">
        <v>3.6769211292266846E-3</v>
      </c>
      <c r="D723" s="11">
        <v>3.1351745128631592E-2</v>
      </c>
      <c r="E723" s="11">
        <v>0.19401103565538175</v>
      </c>
      <c r="F723" s="11">
        <v>0</v>
      </c>
      <c r="G723" s="11">
        <v>3.9878934621810913E-2</v>
      </c>
      <c r="H723" s="40">
        <v>5.6005141446443694E-4</v>
      </c>
      <c r="I723" s="40">
        <v>1.4517889017065768</v>
      </c>
      <c r="J723" s="59">
        <v>0</v>
      </c>
      <c r="K723" s="59">
        <v>4291.5227822959423</v>
      </c>
      <c r="L723" s="59">
        <v>0</v>
      </c>
      <c r="M723" s="11">
        <v>0.87425971031188965</v>
      </c>
      <c r="N723" s="11">
        <v>0.73802703619003296</v>
      </c>
      <c r="O723" s="11">
        <v>0.31331044435501099</v>
      </c>
      <c r="Q723" s="59">
        <v>15.29285027898073</v>
      </c>
      <c r="R723" s="78">
        <v>512.2879072686876</v>
      </c>
      <c r="S723" s="78">
        <v>15.367355662976852</v>
      </c>
      <c r="T723" s="78">
        <v>602.38346949149036</v>
      </c>
      <c r="U723" s="78">
        <v>7.4505383996122276E-2</v>
      </c>
      <c r="V723" s="78">
        <v>90.095562222802755</v>
      </c>
      <c r="Y723" s="28"/>
      <c r="Z723" s="28"/>
      <c r="AK723" s="28"/>
      <c r="AS723" s="28"/>
      <c r="AT723" s="28"/>
    </row>
    <row r="724" spans="3:46" x14ac:dyDescent="0.15">
      <c r="C724" s="11">
        <v>3.2834738492965698E-2</v>
      </c>
      <c r="D724" s="11">
        <v>1.4172077178955078E-2</v>
      </c>
      <c r="E724" s="11">
        <v>0.41654155810270171</v>
      </c>
      <c r="F724" s="11">
        <v>0</v>
      </c>
      <c r="G724" s="11">
        <v>8.9699029922485352E-3</v>
      </c>
      <c r="H724" s="40">
        <v>4.0390212008845826E-4</v>
      </c>
      <c r="I724" s="40">
        <v>1.4928272595979419</v>
      </c>
      <c r="J724" s="59">
        <v>0</v>
      </c>
      <c r="K724" s="59">
        <v>3992.9384365677834</v>
      </c>
      <c r="L724" s="59">
        <v>0</v>
      </c>
      <c r="M724" s="11">
        <v>0.81287896633148193</v>
      </c>
      <c r="N724" s="11">
        <v>0.73985385894775391</v>
      </c>
      <c r="O724" s="11">
        <v>0.31796145439147949</v>
      </c>
      <c r="Q724" s="59">
        <v>13.843841814668485</v>
      </c>
      <c r="R724" s="78">
        <v>467.44344088762807</v>
      </c>
      <c r="S724" s="78">
        <v>13.868719091432688</v>
      </c>
      <c r="T724" s="78">
        <v>609.95253044298568</v>
      </c>
      <c r="U724" s="78">
        <v>2.4877276764202705E-2</v>
      </c>
      <c r="V724" s="78">
        <v>142.5090895553576</v>
      </c>
      <c r="Y724" s="28"/>
      <c r="Z724" s="28"/>
      <c r="AK724" s="28"/>
      <c r="AS724" s="28"/>
      <c r="AT724" s="28"/>
    </row>
    <row r="725" spans="3:46" x14ac:dyDescent="0.15">
      <c r="C725" s="11">
        <v>1.1597514152526855E-2</v>
      </c>
      <c r="D725" s="11">
        <v>1.0810717940330505E-2</v>
      </c>
      <c r="E725" s="11">
        <v>0.25400005621072025</v>
      </c>
      <c r="F725" s="11">
        <v>0</v>
      </c>
      <c r="G725" s="11">
        <v>4.8017442226409912E-2</v>
      </c>
      <c r="H725" s="40">
        <v>3.5707994615216925E-4</v>
      </c>
      <c r="I725" s="40">
        <v>1.4681684718495256</v>
      </c>
      <c r="J725" s="59">
        <v>0</v>
      </c>
      <c r="K725" s="59">
        <v>4900.8289352059364</v>
      </c>
      <c r="L725" s="59">
        <v>0</v>
      </c>
      <c r="M725" s="11">
        <v>0.85175251960754395</v>
      </c>
      <c r="N725" s="11">
        <v>0.785064697265625</v>
      </c>
      <c r="O725" s="11">
        <v>0.3297463059425354</v>
      </c>
      <c r="Q725" s="59">
        <v>14.83085323866929</v>
      </c>
      <c r="R725" s="78">
        <v>488.58573305422925</v>
      </c>
      <c r="S725" s="78">
        <v>14.860297409672272</v>
      </c>
      <c r="T725" s="78">
        <v>603.3065215354037</v>
      </c>
      <c r="U725" s="78">
        <v>2.9444171002982245E-2</v>
      </c>
      <c r="V725" s="78">
        <v>114.72078848117445</v>
      </c>
      <c r="Y725" s="28"/>
      <c r="Z725" s="28"/>
      <c r="AK725" s="28"/>
      <c r="AS725" s="28"/>
      <c r="AT725" s="28"/>
    </row>
    <row r="726" spans="3:46" x14ac:dyDescent="0.15">
      <c r="C726" s="11">
        <v>1.3799667358398438E-2</v>
      </c>
      <c r="D726" s="11">
        <v>8.6680799722671509E-3</v>
      </c>
      <c r="E726" s="11">
        <v>0.28317879202812946</v>
      </c>
      <c r="F726" s="11">
        <v>0</v>
      </c>
      <c r="G726" s="11">
        <v>2.6266485452651978E-2</v>
      </c>
      <c r="H726" s="40">
        <v>5.7530564894724015E-4</v>
      </c>
      <c r="I726" s="40">
        <v>1.4282122637477115</v>
      </c>
      <c r="J726" s="59">
        <v>0</v>
      </c>
      <c r="K726" s="59">
        <v>3868.218045681715</v>
      </c>
      <c r="L726" s="59">
        <v>0</v>
      </c>
      <c r="M726" s="11">
        <v>0.83569431304931641</v>
      </c>
      <c r="N726" s="11">
        <v>0.71034514904022217</v>
      </c>
      <c r="O726" s="11">
        <v>0.2798454761505127</v>
      </c>
      <c r="Q726" s="59">
        <v>14.483872206980363</v>
      </c>
      <c r="R726" s="78">
        <v>488.65702991032015</v>
      </c>
      <c r="S726" s="78">
        <v>14.536373034148639</v>
      </c>
      <c r="T726" s="78">
        <v>606.23655519166698</v>
      </c>
      <c r="U726" s="78">
        <v>5.2500827168275421E-2</v>
      </c>
      <c r="V726" s="78">
        <v>117.57952528134683</v>
      </c>
      <c r="Y726" s="28"/>
      <c r="Z726" s="28"/>
      <c r="AK726" s="28"/>
      <c r="AS726" s="28"/>
      <c r="AT726" s="28"/>
    </row>
    <row r="727" spans="3:46" x14ac:dyDescent="0.15">
      <c r="C727" s="11">
        <v>2.118392288684845E-2</v>
      </c>
      <c r="D727" s="11">
        <v>8.3919167518615723E-3</v>
      </c>
      <c r="E727" s="11">
        <v>0.44825688176301687</v>
      </c>
      <c r="F727" s="11">
        <v>0</v>
      </c>
      <c r="G727" s="11">
        <v>3.2924622297286987E-2</v>
      </c>
      <c r="H727" s="40">
        <v>3.7430989673561282E-4</v>
      </c>
      <c r="I727" s="40">
        <v>1.4792024800172852</v>
      </c>
      <c r="J727" s="59">
        <v>0</v>
      </c>
      <c r="K727" s="59">
        <v>3601.4593206346035</v>
      </c>
      <c r="L727" s="59">
        <v>0</v>
      </c>
      <c r="M727" s="11">
        <v>0.78361248970031738</v>
      </c>
      <c r="N727" s="11">
        <v>0.76374781131744385</v>
      </c>
      <c r="O727" s="11">
        <v>0.31198281049728394</v>
      </c>
      <c r="Q727" s="59">
        <v>13.522788200051314</v>
      </c>
      <c r="R727" s="78">
        <v>462.94825205406511</v>
      </c>
      <c r="S727" s="78">
        <v>13.536664221036887</v>
      </c>
      <c r="T727" s="78">
        <v>610.20184035022567</v>
      </c>
      <c r="U727" s="78">
        <v>1.3876020985572168E-2</v>
      </c>
      <c r="V727" s="78">
        <v>147.25358829616056</v>
      </c>
      <c r="Y727" s="28"/>
      <c r="Z727" s="28"/>
      <c r="AK727" s="28"/>
      <c r="AS727" s="28"/>
      <c r="AT727" s="28"/>
    </row>
    <row r="728" spans="3:46" x14ac:dyDescent="0.15">
      <c r="C728" s="11">
        <v>2.1380186080932617E-3</v>
      </c>
      <c r="D728" s="11">
        <v>1.5385940670967102E-2</v>
      </c>
      <c r="E728" s="11">
        <v>0.39626136926495198</v>
      </c>
      <c r="F728" s="11">
        <v>0</v>
      </c>
      <c r="G728" s="11">
        <v>3.0693262815475464E-2</v>
      </c>
      <c r="H728" s="40">
        <v>4.9836401656275827E-4</v>
      </c>
      <c r="I728" s="40">
        <v>1.3753732181109581</v>
      </c>
      <c r="J728" s="59">
        <v>0</v>
      </c>
      <c r="K728" s="59">
        <v>7292.0136153697968</v>
      </c>
      <c r="L728" s="59">
        <v>0</v>
      </c>
      <c r="M728" s="11">
        <v>0.79813075065612793</v>
      </c>
      <c r="N728" s="11">
        <v>0.73534637689590454</v>
      </c>
      <c r="O728" s="11">
        <v>0.25690579414367676</v>
      </c>
      <c r="Q728" s="59">
        <v>14.027213909236401</v>
      </c>
      <c r="R728" s="78">
        <v>531.95564198927229</v>
      </c>
      <c r="S728" s="78">
        <v>14.051474806955317</v>
      </c>
      <c r="T728" s="78">
        <v>634.19797920754309</v>
      </c>
      <c r="U728" s="78">
        <v>2.4260897718916041E-2</v>
      </c>
      <c r="V728" s="78">
        <v>102.24233721827079</v>
      </c>
      <c r="Y728" s="28"/>
      <c r="Z728" s="28"/>
      <c r="AK728" s="28"/>
      <c r="AS728" s="28"/>
      <c r="AT728" s="28"/>
    </row>
    <row r="729" spans="3:46" x14ac:dyDescent="0.15">
      <c r="C729" s="11">
        <v>1.8751442432403564E-2</v>
      </c>
      <c r="D729" s="11">
        <v>1.1709019541740417E-2</v>
      </c>
      <c r="E729" s="11">
        <v>0.17672483829442356</v>
      </c>
      <c r="F729" s="11">
        <v>0</v>
      </c>
      <c r="G729" s="11">
        <v>2.5725290179252625E-2</v>
      </c>
      <c r="H729" s="40">
        <v>5.3086586307487887E-4</v>
      </c>
      <c r="I729" s="40">
        <v>1.5016491771753775</v>
      </c>
      <c r="J729" s="59">
        <v>0</v>
      </c>
      <c r="K729" s="59">
        <v>2850.8901596069336</v>
      </c>
      <c r="L729" s="59">
        <v>0</v>
      </c>
      <c r="M729" s="11">
        <v>0.84179267287254333</v>
      </c>
      <c r="N729" s="11">
        <v>0.72581064701080322</v>
      </c>
      <c r="O729" s="11">
        <v>0.29884624481201172</v>
      </c>
      <c r="Q729" s="59">
        <v>14.509442883634366</v>
      </c>
      <c r="R729" s="78">
        <v>472.88923288458972</v>
      </c>
      <c r="S729" s="78">
        <v>14.575608764350775</v>
      </c>
      <c r="T729" s="78">
        <v>593.25020106166426</v>
      </c>
      <c r="U729" s="78">
        <v>6.6165880716409831E-2</v>
      </c>
      <c r="V729" s="78">
        <v>120.36096817707454</v>
      </c>
      <c r="Y729" s="28"/>
      <c r="Z729" s="28"/>
      <c r="AK729" s="28"/>
      <c r="AS729" s="28"/>
      <c r="AT729" s="28"/>
    </row>
    <row r="730" spans="3:46" x14ac:dyDescent="0.15">
      <c r="C730" s="11">
        <v>1.6647994518280029E-2</v>
      </c>
      <c r="D730" s="11">
        <v>3.194040060043335E-2</v>
      </c>
      <c r="E730" s="11">
        <v>0.22511488583644279</v>
      </c>
      <c r="F730" s="11">
        <v>0</v>
      </c>
      <c r="G730" s="11">
        <v>1.9678831100463867E-2</v>
      </c>
      <c r="H730" s="40">
        <v>6.3631194000164897E-4</v>
      </c>
      <c r="I730" s="40">
        <v>1.4227167444179709</v>
      </c>
      <c r="J730" s="59">
        <v>0</v>
      </c>
      <c r="K730" s="59">
        <v>5720.6000201404095</v>
      </c>
      <c r="L730" s="59">
        <v>0</v>
      </c>
      <c r="M730" s="11">
        <v>0.79176020622253418</v>
      </c>
      <c r="N730" s="11">
        <v>0.79135334491729736</v>
      </c>
      <c r="O730" s="11">
        <v>0.27194494009017944</v>
      </c>
      <c r="Q730" s="59">
        <v>13.715280691149339</v>
      </c>
      <c r="R730" s="78">
        <v>539.39347996717879</v>
      </c>
      <c r="S730" s="78">
        <v>13.743914561879302</v>
      </c>
      <c r="T730" s="78">
        <v>612.35431373529946</v>
      </c>
      <c r="U730" s="78">
        <v>2.8633870729963817E-2</v>
      </c>
      <c r="V730" s="78">
        <v>72.960833768120665</v>
      </c>
      <c r="Y730" s="28"/>
      <c r="Z730" s="28"/>
      <c r="AK730" s="28"/>
      <c r="AS730" s="28"/>
      <c r="AT730" s="28"/>
    </row>
    <row r="731" spans="3:46" x14ac:dyDescent="0.15">
      <c r="C731" s="11">
        <v>4.2205095291137695E-2</v>
      </c>
      <c r="D731" s="11">
        <v>1.3501226902008057E-2</v>
      </c>
      <c r="E731" s="11">
        <v>0.26885272314167385</v>
      </c>
      <c r="F731" s="11">
        <v>0</v>
      </c>
      <c r="G731" s="11">
        <v>3.2952070236206055E-2</v>
      </c>
      <c r="H731" s="40">
        <v>3.1534986315591711E-4</v>
      </c>
      <c r="I731" s="40">
        <v>1.5428879794065955</v>
      </c>
      <c r="J731" s="59">
        <v>0</v>
      </c>
      <c r="K731" s="59">
        <v>3711.8420004844666</v>
      </c>
      <c r="L731" s="59">
        <v>0</v>
      </c>
      <c r="M731" s="11">
        <v>0.87760436534881592</v>
      </c>
      <c r="N731" s="11">
        <v>0.80074179172515869</v>
      </c>
      <c r="O731" s="11">
        <v>0.2705845832824707</v>
      </c>
      <c r="Q731" s="59">
        <v>14.800050341425747</v>
      </c>
      <c r="R731" s="78">
        <v>464.52756048442677</v>
      </c>
      <c r="S731" s="78">
        <v>14.834455366602969</v>
      </c>
      <c r="T731" s="78">
        <v>598.21525186481733</v>
      </c>
      <c r="U731" s="78">
        <v>3.440502517722166E-2</v>
      </c>
      <c r="V731" s="78">
        <v>133.68769138039056</v>
      </c>
      <c r="Y731" s="28"/>
      <c r="Z731" s="28"/>
      <c r="AK731" s="28"/>
      <c r="AS731" s="28"/>
      <c r="AT731" s="28"/>
    </row>
    <row r="732" spans="3:46" x14ac:dyDescent="0.15">
      <c r="C732" s="11">
        <v>1.0918006300926208E-2</v>
      </c>
      <c r="D732" s="11">
        <v>2.0782649517059326E-3</v>
      </c>
      <c r="E732" s="11">
        <v>0.294244183145422</v>
      </c>
      <c r="F732" s="11">
        <v>0</v>
      </c>
      <c r="G732" s="11">
        <v>2.8123944997787476E-2</v>
      </c>
      <c r="H732" s="40">
        <v>4.1832224045618767E-4</v>
      </c>
      <c r="I732" s="40">
        <v>1.5125945149575466</v>
      </c>
      <c r="J732" s="59">
        <v>0</v>
      </c>
      <c r="K732" s="59">
        <v>4858.1254668533802</v>
      </c>
      <c r="L732" s="59">
        <v>0</v>
      </c>
      <c r="M732" s="11">
        <v>0.83714529871940613</v>
      </c>
      <c r="N732" s="11">
        <v>0.70105648040771484</v>
      </c>
      <c r="O732" s="11">
        <v>0.32660418748855591</v>
      </c>
      <c r="Q732" s="59">
        <v>14.556184268787128</v>
      </c>
      <c r="R732" s="78">
        <v>506.51827052373699</v>
      </c>
      <c r="S732" s="78">
        <v>14.604769451606446</v>
      </c>
      <c r="T732" s="78">
        <v>612.61960345251691</v>
      </c>
      <c r="U732" s="78">
        <v>4.8585182819318007E-2</v>
      </c>
      <c r="V732" s="78">
        <v>106.10133292877993</v>
      </c>
      <c r="Y732" s="28"/>
      <c r="Z732" s="28"/>
      <c r="AK732" s="28"/>
      <c r="AS732" s="28"/>
      <c r="AT732" s="28"/>
    </row>
    <row r="733" spans="3:46" x14ac:dyDescent="0.15">
      <c r="C733" s="11">
        <v>2.5913327932357788E-2</v>
      </c>
      <c r="D733" s="11">
        <v>1.7162501811981201E-2</v>
      </c>
      <c r="E733" s="11">
        <v>0.3395123743692321</v>
      </c>
      <c r="F733" s="11">
        <v>0</v>
      </c>
      <c r="G733" s="11">
        <v>6.9182515144348145E-2</v>
      </c>
      <c r="H733" s="40">
        <v>3.3598681835001506E-4</v>
      </c>
      <c r="I733" s="40">
        <v>1.5744340066924167</v>
      </c>
      <c r="J733" s="59">
        <v>0</v>
      </c>
      <c r="K733" s="59">
        <v>5086.0154442489147</v>
      </c>
      <c r="L733" s="59">
        <v>0</v>
      </c>
      <c r="M733" s="11">
        <v>0.86770081520080566</v>
      </c>
      <c r="N733" s="11">
        <v>0.79144483804702759</v>
      </c>
      <c r="O733" s="11">
        <v>0.31195926666259766</v>
      </c>
      <c r="Q733" s="59">
        <v>14.868672496773524</v>
      </c>
      <c r="R733" s="78">
        <v>529.48906687839053</v>
      </c>
      <c r="S733" s="78">
        <v>14.908523589303448</v>
      </c>
      <c r="T733" s="78">
        <v>625.6400969575086</v>
      </c>
      <c r="U733" s="78">
        <v>3.9851092529923804E-2</v>
      </c>
      <c r="V733" s="78">
        <v>96.151030079118073</v>
      </c>
      <c r="Y733" s="28"/>
      <c r="Z733" s="28"/>
      <c r="AK733" s="28"/>
      <c r="AS733" s="28"/>
      <c r="AT733" s="28"/>
    </row>
    <row r="734" spans="3:46" x14ac:dyDescent="0.15">
      <c r="C734" s="11">
        <v>1.5143513679504395E-2</v>
      </c>
      <c r="D734" s="11">
        <v>2.1465808153152466E-2</v>
      </c>
      <c r="E734" s="11">
        <v>0.35743330100991211</v>
      </c>
      <c r="F734" s="11">
        <v>0</v>
      </c>
      <c r="G734" s="11">
        <v>4.3871849775314331E-2</v>
      </c>
      <c r="H734" s="40">
        <v>5.6114968197562727E-4</v>
      </c>
      <c r="I734" s="40">
        <v>1.3809296598703127</v>
      </c>
      <c r="J734" s="59">
        <v>0</v>
      </c>
      <c r="K734" s="59">
        <v>6228.4921295940876</v>
      </c>
      <c r="L734" s="59">
        <v>0</v>
      </c>
      <c r="M734" s="11">
        <v>0.85651427507400513</v>
      </c>
      <c r="N734" s="11">
        <v>0.71241855621337891</v>
      </c>
      <c r="O734" s="11">
        <v>0.31681090593338013</v>
      </c>
      <c r="Q734" s="59">
        <v>14.826417774079072</v>
      </c>
      <c r="R734" s="78">
        <v>536.06207689187863</v>
      </c>
      <c r="S734" s="78">
        <v>14.873347412168371</v>
      </c>
      <c r="T734" s="78">
        <v>630.37335946545261</v>
      </c>
      <c r="U734" s="78">
        <v>4.6929638089299175E-2</v>
      </c>
      <c r="V734" s="78">
        <v>94.311282573573976</v>
      </c>
      <c r="Y734" s="28"/>
      <c r="Z734" s="28"/>
      <c r="AK734" s="28"/>
      <c r="AS734" s="28"/>
      <c r="AT734" s="28"/>
    </row>
    <row r="735" spans="3:46" x14ac:dyDescent="0.15">
      <c r="C735" s="11">
        <v>2.7022361755371094E-2</v>
      </c>
      <c r="D735" s="11">
        <v>5.087125301361084E-2</v>
      </c>
      <c r="E735" s="11">
        <v>0.23180440539869407</v>
      </c>
      <c r="F735" s="11">
        <v>0</v>
      </c>
      <c r="G735" s="11">
        <v>2.7901768684387207E-2</v>
      </c>
      <c r="H735" s="40">
        <v>2.5466455453002074E-4</v>
      </c>
      <c r="I735" s="40">
        <v>1.5794713863383791</v>
      </c>
      <c r="J735" s="59">
        <v>0</v>
      </c>
      <c r="K735" s="59">
        <v>6770.8175629377365</v>
      </c>
      <c r="L735" s="59">
        <v>0</v>
      </c>
      <c r="M735" s="11">
        <v>0.85042166709899902</v>
      </c>
      <c r="N735" s="11">
        <v>0.73752403259277344</v>
      </c>
      <c r="O735" s="11">
        <v>0.23654556274414062</v>
      </c>
      <c r="Q735" s="59">
        <v>14.555532035918013</v>
      </c>
      <c r="R735" s="78">
        <v>507.77425771114218</v>
      </c>
      <c r="S735" s="78">
        <v>14.60144649987526</v>
      </c>
      <c r="T735" s="78">
        <v>605.71671863767995</v>
      </c>
      <c r="U735" s="78">
        <v>4.591446395724752E-2</v>
      </c>
      <c r="V735" s="78">
        <v>97.942460926537763</v>
      </c>
      <c r="Y735" s="28"/>
      <c r="Z735" s="28"/>
      <c r="AK735" s="28"/>
      <c r="AS735" s="28"/>
      <c r="AT735" s="28"/>
    </row>
    <row r="736" spans="3:46" x14ac:dyDescent="0.15">
      <c r="C736" s="11">
        <v>9.3511641025543213E-3</v>
      </c>
      <c r="D736" s="11">
        <v>1.0908037424087524E-2</v>
      </c>
      <c r="E736" s="11">
        <v>0.36630775697151374</v>
      </c>
      <c r="F736" s="11">
        <v>0</v>
      </c>
      <c r="G736" s="11">
        <v>5.7772517204284668E-2</v>
      </c>
      <c r="H736" s="40">
        <v>4.4409902858646375E-4</v>
      </c>
      <c r="I736" s="40">
        <v>1.4449402347111566</v>
      </c>
      <c r="J736" s="59">
        <v>0</v>
      </c>
      <c r="K736" s="59">
        <v>4116.3456626236439</v>
      </c>
      <c r="L736" s="59">
        <v>0</v>
      </c>
      <c r="M736" s="11">
        <v>0.87535184621810913</v>
      </c>
      <c r="N736" s="11">
        <v>0.68115997314453125</v>
      </c>
      <c r="O736" s="11">
        <v>0.25971806049346924</v>
      </c>
      <c r="Q736" s="59">
        <v>15.229869228948424</v>
      </c>
      <c r="R736" s="78">
        <v>490.64157995701527</v>
      </c>
      <c r="S736" s="78">
        <v>15.284831182820245</v>
      </c>
      <c r="T736" s="78">
        <v>614.80067568497589</v>
      </c>
      <c r="U736" s="78">
        <v>5.4961953871821123E-2</v>
      </c>
      <c r="V736" s="78">
        <v>124.15909572796062</v>
      </c>
      <c r="Y736" s="28"/>
      <c r="Z736" s="28"/>
      <c r="AK736" s="28"/>
      <c r="AS736" s="28"/>
      <c r="AT736" s="28"/>
    </row>
    <row r="737" spans="3:46" x14ac:dyDescent="0.15">
      <c r="C737" s="11">
        <v>1.6005039215087891E-2</v>
      </c>
      <c r="D737" s="11">
        <v>6.0731619596481323E-3</v>
      </c>
      <c r="E737" s="11">
        <v>0.24068527377864071</v>
      </c>
      <c r="F737" s="11">
        <v>0</v>
      </c>
      <c r="G737" s="11">
        <v>5.5678248405456543E-2</v>
      </c>
      <c r="H737" s="40">
        <v>4.0686747338068583E-4</v>
      </c>
      <c r="I737" s="40">
        <v>1.4515853725532342</v>
      </c>
      <c r="J737" s="59">
        <v>0</v>
      </c>
      <c r="K737" s="59">
        <v>7626.4981180429459</v>
      </c>
      <c r="L737" s="59">
        <v>0</v>
      </c>
      <c r="M737" s="11">
        <v>0.82037729024887085</v>
      </c>
      <c r="N737" s="11">
        <v>0.6928102970123291</v>
      </c>
      <c r="O737" s="11">
        <v>0.30612790584564209</v>
      </c>
      <c r="Q737" s="59">
        <v>14.201127664276198</v>
      </c>
      <c r="R737" s="78">
        <v>559.02181398962091</v>
      </c>
      <c r="S737" s="78">
        <v>14.244767484573375</v>
      </c>
      <c r="T737" s="78">
        <v>619.22458069177367</v>
      </c>
      <c r="U737" s="78">
        <v>4.3639820297176612E-2</v>
      </c>
      <c r="V737" s="78">
        <v>60.202766702152758</v>
      </c>
      <c r="Y737" s="28"/>
      <c r="Z737" s="28"/>
      <c r="AK737" s="28"/>
      <c r="AS737" s="28"/>
      <c r="AT737" s="28"/>
    </row>
    <row r="738" spans="3:46" x14ac:dyDescent="0.15">
      <c r="C738" s="11">
        <v>1.452791690826416E-2</v>
      </c>
      <c r="D738" s="11">
        <v>3.9195597171783447E-2</v>
      </c>
      <c r="E738" s="11">
        <v>0.26448120197578662</v>
      </c>
      <c r="F738" s="11">
        <v>0</v>
      </c>
      <c r="G738" s="11">
        <v>2.1174728870391846E-2</v>
      </c>
      <c r="H738" s="40">
        <v>4.9077538666805656E-4</v>
      </c>
      <c r="I738" s="40">
        <v>1.3787265579962065</v>
      </c>
      <c r="J738" s="59">
        <v>0</v>
      </c>
      <c r="K738" s="59">
        <v>7699.9515295028687</v>
      </c>
      <c r="L738" s="59">
        <v>0</v>
      </c>
      <c r="M738" s="11">
        <v>0.81162405014038086</v>
      </c>
      <c r="N738" s="11">
        <v>0.75263053178787231</v>
      </c>
      <c r="O738" s="11">
        <v>0.3052065372467041</v>
      </c>
      <c r="Q738" s="59">
        <v>14.085811627703135</v>
      </c>
      <c r="R738" s="78">
        <v>529.00763794551824</v>
      </c>
      <c r="S738" s="78">
        <v>14.116621981206386</v>
      </c>
      <c r="T738" s="78">
        <v>615.13402453855053</v>
      </c>
      <c r="U738" s="78">
        <v>3.0810353503250454E-2</v>
      </c>
      <c r="V738" s="78">
        <v>86.126386593032294</v>
      </c>
      <c r="Y738" s="28"/>
      <c r="Z738" s="28"/>
      <c r="AK738" s="28"/>
      <c r="AS738" s="28"/>
      <c r="AT738" s="28"/>
    </row>
    <row r="739" spans="3:46" x14ac:dyDescent="0.15">
      <c r="C739" s="11">
        <v>1.0386407375335693E-2</v>
      </c>
      <c r="D739" s="11">
        <v>2.1357119083404541E-2</v>
      </c>
      <c r="E739" s="11">
        <v>0.42436187357552257</v>
      </c>
      <c r="F739" s="11">
        <v>0</v>
      </c>
      <c r="G739" s="11">
        <v>6.2427341938018799E-2</v>
      </c>
      <c r="H739" s="40">
        <v>3.2336246781472321E-4</v>
      </c>
      <c r="I739" s="40">
        <v>1.5046295779744485</v>
      </c>
      <c r="J739" s="59">
        <v>0</v>
      </c>
      <c r="K739" s="59">
        <v>2929.1305691003799</v>
      </c>
      <c r="L739" s="59">
        <v>0</v>
      </c>
      <c r="M739" s="11">
        <v>0.89051580429077148</v>
      </c>
      <c r="N739" s="11">
        <v>0.69091379642486572</v>
      </c>
      <c r="O739" s="11">
        <v>0.33790707588195801</v>
      </c>
      <c r="Q739" s="59">
        <v>15.488171405730686</v>
      </c>
      <c r="R739" s="78">
        <v>454.65265971768662</v>
      </c>
      <c r="S739" s="78">
        <v>15.532807368473524</v>
      </c>
      <c r="T739" s="78">
        <v>604.97502998215043</v>
      </c>
      <c r="U739" s="78">
        <v>4.4635962742837876E-2</v>
      </c>
      <c r="V739" s="78">
        <v>150.32237026446381</v>
      </c>
      <c r="Y739" s="28"/>
      <c r="Z739" s="28"/>
      <c r="AK739" s="28"/>
      <c r="AS739" s="28"/>
      <c r="AT739" s="28"/>
    </row>
    <row r="740" spans="3:46" x14ac:dyDescent="0.15">
      <c r="C740" s="11">
        <v>9.9155157804489136E-3</v>
      </c>
      <c r="D740" s="11">
        <v>8.6733102798461914E-3</v>
      </c>
      <c r="E740" s="11">
        <v>0.1838108819916219</v>
      </c>
      <c r="F740" s="11">
        <v>0</v>
      </c>
      <c r="G740" s="11">
        <v>3.9047479629516602E-2</v>
      </c>
      <c r="H740" s="40">
        <v>5.725479468752108E-4</v>
      </c>
      <c r="I740" s="40">
        <v>1.4590244801667225</v>
      </c>
      <c r="J740" s="59">
        <v>0</v>
      </c>
      <c r="K740" s="59">
        <v>4770.355299115181</v>
      </c>
      <c r="L740" s="59">
        <v>0</v>
      </c>
      <c r="M740" s="11">
        <v>0.89237880706787109</v>
      </c>
      <c r="N740" s="11">
        <v>0.75761234760284424</v>
      </c>
      <c r="O740" s="11">
        <v>0.30849835276603699</v>
      </c>
      <c r="Q740" s="59">
        <v>15.517938621358354</v>
      </c>
      <c r="R740" s="78">
        <v>530.54767102775202</v>
      </c>
      <c r="S740" s="78">
        <v>15.589687569371513</v>
      </c>
      <c r="T740" s="78">
        <v>604.60315479199994</v>
      </c>
      <c r="U740" s="78">
        <v>7.1748948013159008E-2</v>
      </c>
      <c r="V740" s="78">
        <v>74.055483764247924</v>
      </c>
      <c r="Y740" s="28"/>
      <c r="Z740" s="28"/>
      <c r="AK740" s="28"/>
      <c r="AS740" s="28"/>
      <c r="AT740" s="28"/>
    </row>
    <row r="741" spans="3:46" x14ac:dyDescent="0.15">
      <c r="C741" s="11">
        <v>8.3901882171630859E-3</v>
      </c>
      <c r="D741" s="11">
        <v>1.6449660062789917E-2</v>
      </c>
      <c r="E741" s="11">
        <v>0.1841387405368774</v>
      </c>
      <c r="F741" s="11">
        <v>0</v>
      </c>
      <c r="G741" s="11">
        <v>3.5837143659591675E-2</v>
      </c>
      <c r="H741" s="40">
        <v>3.5548064807933269E-4</v>
      </c>
      <c r="I741" s="40">
        <v>1.5968276675205109</v>
      </c>
      <c r="J741" s="59">
        <v>0</v>
      </c>
      <c r="K741" s="59">
        <v>3132.4382871389389</v>
      </c>
      <c r="L741" s="59">
        <v>0</v>
      </c>
      <c r="M741" s="11">
        <v>0.84467315673828125</v>
      </c>
      <c r="N741" s="11">
        <v>0.6971362829208374</v>
      </c>
      <c r="O741" s="11">
        <v>0.23621416091918945</v>
      </c>
      <c r="Q741" s="59">
        <v>14.70357913696631</v>
      </c>
      <c r="R741" s="78">
        <v>476.08597264645516</v>
      </c>
      <c r="S741" s="78">
        <v>14.777581685456632</v>
      </c>
      <c r="T741" s="78">
        <v>594.42214086490901</v>
      </c>
      <c r="U741" s="78">
        <v>7.4002548490321729E-2</v>
      </c>
      <c r="V741" s="78">
        <v>118.33616821845385</v>
      </c>
      <c r="Y741" s="28"/>
      <c r="Z741" s="28"/>
      <c r="AK741" s="28"/>
      <c r="AS741" s="28"/>
      <c r="AT741" s="28"/>
    </row>
    <row r="742" spans="3:46" x14ac:dyDescent="0.15">
      <c r="C742" s="11">
        <v>1.2770906090736389E-2</v>
      </c>
      <c r="D742" s="11">
        <v>7.8236758708953857E-3</v>
      </c>
      <c r="E742" s="11">
        <v>0.30127930590199148</v>
      </c>
      <c r="F742" s="11">
        <v>0</v>
      </c>
      <c r="G742" s="11">
        <v>4.4853895902633667E-2</v>
      </c>
      <c r="H742" s="40">
        <v>6.8398149138590154E-4</v>
      </c>
      <c r="I742" s="40">
        <v>1.3865250042830555</v>
      </c>
      <c r="J742" s="59">
        <v>0</v>
      </c>
      <c r="K742" s="59">
        <v>7782.1128070354462</v>
      </c>
      <c r="L742" s="59">
        <v>0</v>
      </c>
      <c r="M742" s="11">
        <v>0.81009030342102051</v>
      </c>
      <c r="N742" s="11">
        <v>0.72954130172729492</v>
      </c>
      <c r="O742" s="11">
        <v>0.29718926548957825</v>
      </c>
      <c r="Q742" s="59">
        <v>14.065054785140426</v>
      </c>
      <c r="R742" s="78">
        <v>615.48465341092788</v>
      </c>
      <c r="S742" s="78">
        <v>14.107540756536732</v>
      </c>
      <c r="T742" s="78">
        <v>646.78487712318304</v>
      </c>
      <c r="U742" s="78">
        <v>4.248597139630661E-2</v>
      </c>
      <c r="V742" s="78">
        <v>31.300223712255161</v>
      </c>
      <c r="Y742" s="28"/>
      <c r="Z742" s="28"/>
      <c r="AK742" s="28"/>
      <c r="AS742" s="28"/>
      <c r="AT742" s="28"/>
    </row>
    <row r="743" spans="3:46" x14ac:dyDescent="0.15">
      <c r="C743" s="11">
        <v>2.2088974714279175E-2</v>
      </c>
      <c r="D743" s="11">
        <v>2.929842472076416E-2</v>
      </c>
      <c r="E743" s="11">
        <v>0.38569569089367101</v>
      </c>
      <c r="F743" s="11">
        <v>0</v>
      </c>
      <c r="G743" s="11">
        <v>4.330018162727356E-2</v>
      </c>
      <c r="H743" s="40">
        <v>4.3906570218218527E-4</v>
      </c>
      <c r="I743" s="40">
        <v>1.4743476058891753</v>
      </c>
      <c r="J743" s="59">
        <v>0</v>
      </c>
      <c r="K743" s="59">
        <v>4264.4678615033627</v>
      </c>
      <c r="L743" s="59">
        <v>0</v>
      </c>
      <c r="M743" s="11">
        <v>0.79868340492248535</v>
      </c>
      <c r="N743" s="11">
        <v>0.76302444934844971</v>
      </c>
      <c r="O743" s="11">
        <v>0.27771061658859253</v>
      </c>
      <c r="Q743" s="59">
        <v>13.751483545746437</v>
      </c>
      <c r="R743" s="78">
        <v>492.68500824983028</v>
      </c>
      <c r="S743" s="78">
        <v>13.778568759079658</v>
      </c>
      <c r="T743" s="78">
        <v>617.52516006573012</v>
      </c>
      <c r="U743" s="78">
        <v>2.7085213333220892E-2</v>
      </c>
      <c r="V743" s="78">
        <v>124.84015181589984</v>
      </c>
      <c r="Y743" s="28"/>
      <c r="Z743" s="28"/>
      <c r="AK743" s="28"/>
      <c r="AS743" s="28"/>
      <c r="AT743" s="28"/>
    </row>
    <row r="744" spans="3:46" x14ac:dyDescent="0.15">
      <c r="C744" s="11">
        <v>5.912095308303833E-3</v>
      </c>
      <c r="D744" s="11">
        <v>8.2003176212310791E-3</v>
      </c>
      <c r="E744" s="11">
        <v>0.31785660376310754</v>
      </c>
      <c r="F744" s="11">
        <v>0</v>
      </c>
      <c r="G744" s="11">
        <v>2.0704984664916992E-2</v>
      </c>
      <c r="H744" s="40">
        <v>4.6198910598644797E-4</v>
      </c>
      <c r="I744" s="40">
        <v>1.4913464868917781</v>
      </c>
      <c r="J744" s="59">
        <v>0</v>
      </c>
      <c r="K744" s="59">
        <v>5222.4635146558285</v>
      </c>
      <c r="L744" s="59">
        <v>0</v>
      </c>
      <c r="M744" s="11">
        <v>0.86014115810394287</v>
      </c>
      <c r="N744" s="11">
        <v>0.78120875358581543</v>
      </c>
      <c r="O744" s="11">
        <v>0.26747852563858032</v>
      </c>
      <c r="Q744" s="59">
        <v>15.046409109218343</v>
      </c>
      <c r="R744" s="78">
        <v>514.63797839533549</v>
      </c>
      <c r="S744" s="78">
        <v>15.084918575123206</v>
      </c>
      <c r="T744" s="78">
        <v>617.93771009928105</v>
      </c>
      <c r="U744" s="78">
        <v>3.8509465904862594E-2</v>
      </c>
      <c r="V744" s="78">
        <v>103.29973170394555</v>
      </c>
      <c r="Y744" s="28"/>
      <c r="Z744" s="28"/>
      <c r="AK744" s="28"/>
      <c r="AS744" s="28"/>
      <c r="AT744" s="28"/>
    </row>
    <row r="745" spans="3:46" x14ac:dyDescent="0.15">
      <c r="C745" s="11">
        <v>2.139890193939209E-2</v>
      </c>
      <c r="D745" s="11">
        <v>1.1582896113395691E-2</v>
      </c>
      <c r="E745" s="11">
        <v>0.34214369294694236</v>
      </c>
      <c r="F745" s="11">
        <v>0</v>
      </c>
      <c r="G745" s="11">
        <v>4.192313551902771E-2</v>
      </c>
      <c r="H745" s="40">
        <v>4.8009736175181055E-4</v>
      </c>
      <c r="I745" s="40">
        <v>1.4024157588101551</v>
      </c>
      <c r="J745" s="59">
        <v>0</v>
      </c>
      <c r="K745" s="59">
        <v>5591.1485105752945</v>
      </c>
      <c r="L745" s="59">
        <v>0</v>
      </c>
      <c r="M745" s="11">
        <v>0.86531484127044678</v>
      </c>
      <c r="N745" s="11">
        <v>0.78790807723999023</v>
      </c>
      <c r="O745" s="11">
        <v>0.31861257553100586</v>
      </c>
      <c r="Q745" s="59">
        <v>14.910986030945814</v>
      </c>
      <c r="R745" s="78">
        <v>508.81314805301088</v>
      </c>
      <c r="S745" s="78">
        <v>14.941366182884632</v>
      </c>
      <c r="T745" s="78">
        <v>618.71841534208477</v>
      </c>
      <c r="U745" s="78">
        <v>3.0380151938818045E-2</v>
      </c>
      <c r="V745" s="78">
        <v>109.90526728907389</v>
      </c>
      <c r="Y745" s="28"/>
      <c r="Z745" s="28"/>
      <c r="AK745" s="28"/>
      <c r="AS745" s="28"/>
      <c r="AT745" s="28"/>
    </row>
    <row r="746" spans="3:46" x14ac:dyDescent="0.15">
      <c r="C746" s="11">
        <v>2.3917973041534424E-2</v>
      </c>
      <c r="D746" s="11">
        <v>2.9375821352005005E-2</v>
      </c>
      <c r="E746" s="11">
        <v>0.26051171325415756</v>
      </c>
      <c r="F746" s="11">
        <v>0</v>
      </c>
      <c r="G746" s="11">
        <v>3.1712383031845093E-2</v>
      </c>
      <c r="H746" s="40">
        <v>5.1936756910561893E-4</v>
      </c>
      <c r="I746" s="40">
        <v>1.478168620237456</v>
      </c>
      <c r="J746" s="59">
        <v>0</v>
      </c>
      <c r="K746" s="59">
        <v>4080.6969627737999</v>
      </c>
      <c r="L746" s="59">
        <v>0</v>
      </c>
      <c r="M746" s="11">
        <v>0.83874335885047913</v>
      </c>
      <c r="N746" s="11">
        <v>0.70535552501678467</v>
      </c>
      <c r="O746" s="11">
        <v>0.31641519069671631</v>
      </c>
      <c r="Q746" s="59">
        <v>14.375269891079792</v>
      </c>
      <c r="R746" s="78">
        <v>499.87490835686384</v>
      </c>
      <c r="S746" s="78">
        <v>14.438112005123671</v>
      </c>
      <c r="T746" s="78">
        <v>607.07191353772339</v>
      </c>
      <c r="U746" s="78">
        <v>6.2842114043878183E-2</v>
      </c>
      <c r="V746" s="78">
        <v>107.19700518085955</v>
      </c>
      <c r="Y746" s="28"/>
      <c r="Z746" s="28"/>
      <c r="AK746" s="28"/>
      <c r="AS746" s="28"/>
      <c r="AT746" s="28"/>
    </row>
    <row r="747" spans="3:46" x14ac:dyDescent="0.15">
      <c r="C747" s="11">
        <v>1.5572890639305115E-2</v>
      </c>
      <c r="D747" s="11">
        <v>1.1815577745437622E-2</v>
      </c>
      <c r="E747" s="11">
        <v>0.12761898621351012</v>
      </c>
      <c r="F747" s="11">
        <v>0</v>
      </c>
      <c r="G747" s="11">
        <v>2.2920876741409302E-2</v>
      </c>
      <c r="H747" s="40">
        <v>4.7178575256249492E-4</v>
      </c>
      <c r="I747" s="40">
        <v>1.400789111956589</v>
      </c>
      <c r="J747" s="59">
        <v>0</v>
      </c>
      <c r="K747" s="59">
        <v>5513.3714340627193</v>
      </c>
      <c r="L747" s="59">
        <v>0</v>
      </c>
      <c r="M747" s="11">
        <v>0.88300043344497681</v>
      </c>
      <c r="N747" s="11">
        <v>0.77439570426940918</v>
      </c>
      <c r="O747" s="11">
        <v>0.3185158371925354</v>
      </c>
      <c r="Q747" s="59">
        <v>15.301785882364635</v>
      </c>
      <c r="R747" s="78">
        <v>494.43820343091323</v>
      </c>
      <c r="S747" s="78">
        <v>15.347274003947033</v>
      </c>
      <c r="T747" s="78">
        <v>592.00644388231751</v>
      </c>
      <c r="U747" s="78">
        <v>4.5488121582398122E-2</v>
      </c>
      <c r="V747" s="78">
        <v>97.568240451404279</v>
      </c>
      <c r="Y747" s="28"/>
      <c r="Z747" s="28"/>
      <c r="AK747" s="28"/>
      <c r="AS747" s="28"/>
      <c r="AT747" s="28"/>
    </row>
    <row r="748" spans="3:46" x14ac:dyDescent="0.15">
      <c r="C748" s="11">
        <v>3.2408654689788818E-2</v>
      </c>
      <c r="D748" s="11">
        <v>8.7143629789352417E-3</v>
      </c>
      <c r="E748" s="11">
        <v>0.32317582493598179</v>
      </c>
      <c r="F748" s="11">
        <v>0</v>
      </c>
      <c r="G748" s="11">
        <v>3.2316058874130249E-2</v>
      </c>
      <c r="H748" s="40">
        <v>5.1855795794998746E-4</v>
      </c>
      <c r="I748" s="40">
        <v>1.4271953340487575</v>
      </c>
      <c r="J748" s="59">
        <v>0</v>
      </c>
      <c r="K748" s="59">
        <v>4579.2735181748867</v>
      </c>
      <c r="L748" s="59">
        <v>0</v>
      </c>
      <c r="M748" s="11">
        <v>0.80878114700317383</v>
      </c>
      <c r="N748" s="11">
        <v>0.78884243965148926</v>
      </c>
      <c r="O748" s="11">
        <v>0.31137579679489136</v>
      </c>
      <c r="Q748" s="59">
        <v>13.79222380108116</v>
      </c>
      <c r="R748" s="78">
        <v>496.42725611926562</v>
      </c>
      <c r="S748" s="78">
        <v>13.81287151166593</v>
      </c>
      <c r="T748" s="78">
        <v>612.55100171846811</v>
      </c>
      <c r="U748" s="78">
        <v>2.0647710584769996E-2</v>
      </c>
      <c r="V748" s="78">
        <v>116.12374559920249</v>
      </c>
      <c r="Y748" s="28"/>
      <c r="Z748" s="28"/>
      <c r="AK748" s="28"/>
      <c r="AS748" s="28"/>
      <c r="AT748" s="28"/>
    </row>
    <row r="749" spans="3:46" x14ac:dyDescent="0.15">
      <c r="C749" s="11">
        <v>9.2431157827377319E-3</v>
      </c>
      <c r="D749" s="11">
        <v>2.6929706335067749E-2</v>
      </c>
      <c r="E749" s="11">
        <v>0.15404264195375966</v>
      </c>
      <c r="F749" s="11">
        <v>0</v>
      </c>
      <c r="G749" s="11">
        <v>5.2971571683883667E-2</v>
      </c>
      <c r="H749" s="40">
        <v>4.0044914052307781E-4</v>
      </c>
      <c r="I749" s="40">
        <v>1.5230404604270908</v>
      </c>
      <c r="J749" s="59">
        <v>0</v>
      </c>
      <c r="K749" s="59">
        <v>5340.8765234053135</v>
      </c>
      <c r="L749" s="59">
        <v>0</v>
      </c>
      <c r="M749" s="11">
        <v>0.89364659786224365</v>
      </c>
      <c r="N749" s="11">
        <v>0.79526770114898682</v>
      </c>
      <c r="O749" s="11">
        <v>0.29201728105545044</v>
      </c>
      <c r="Q749" s="59">
        <v>15.565544838165495</v>
      </c>
      <c r="R749" s="78">
        <v>531.76697169045394</v>
      </c>
      <c r="S749" s="78">
        <v>15.627522725805925</v>
      </c>
      <c r="T749" s="78">
        <v>600.60470505434057</v>
      </c>
      <c r="U749" s="78">
        <v>6.197788764042933E-2</v>
      </c>
      <c r="V749" s="78">
        <v>68.837733363886628</v>
      </c>
      <c r="Y749" s="28"/>
      <c r="Z749" s="28"/>
      <c r="AK749" s="28"/>
      <c r="AS749" s="28"/>
      <c r="AT749" s="28"/>
    </row>
    <row r="750" spans="3:46" x14ac:dyDescent="0.15">
      <c r="C750" s="11">
        <v>5.4465383291244507E-3</v>
      </c>
      <c r="D750" s="11">
        <v>3.0613362789154053E-2</v>
      </c>
      <c r="E750" s="11">
        <v>0.28470827996432524</v>
      </c>
      <c r="F750" s="11">
        <v>0</v>
      </c>
      <c r="G750" s="11">
        <v>2.4278819561004639E-2</v>
      </c>
      <c r="H750" s="40">
        <v>4.0343885463417571E-4</v>
      </c>
      <c r="I750" s="40">
        <v>1.5180795398120659</v>
      </c>
      <c r="J750" s="59">
        <v>0</v>
      </c>
      <c r="K750" s="59">
        <v>5160.2395251393318</v>
      </c>
      <c r="L750" s="59">
        <v>0</v>
      </c>
      <c r="M750" s="11">
        <v>0.85145777463912964</v>
      </c>
      <c r="N750" s="11">
        <v>0.70220696926116943</v>
      </c>
      <c r="O750" s="11">
        <v>0.27174240350723267</v>
      </c>
      <c r="Q750" s="59">
        <v>14.874397895833313</v>
      </c>
      <c r="R750" s="78">
        <v>508.73186696632882</v>
      </c>
      <c r="S750" s="78">
        <v>14.933692218957512</v>
      </c>
      <c r="T750" s="78">
        <v>612.17112466440108</v>
      </c>
      <c r="U750" s="78">
        <v>5.9294323124198911E-2</v>
      </c>
      <c r="V750" s="78">
        <v>103.43925769807225</v>
      </c>
      <c r="Y750" s="28"/>
      <c r="Z750" s="28"/>
      <c r="AK750" s="28"/>
      <c r="AS750" s="28"/>
      <c r="AT750" s="28"/>
    </row>
    <row r="751" spans="3:46" x14ac:dyDescent="0.15">
      <c r="C751" s="11">
        <v>8.7121576070785522E-3</v>
      </c>
      <c r="D751" s="11">
        <v>2.2238820791244507E-2</v>
      </c>
      <c r="E751" s="11">
        <v>0.40930255438105123</v>
      </c>
      <c r="F751" s="11">
        <v>0</v>
      </c>
      <c r="G751" s="11">
        <v>2.8876006603240967E-2</v>
      </c>
      <c r="H751" s="40">
        <v>4.8251439497790061E-4</v>
      </c>
      <c r="I751" s="40">
        <v>1.4604430646551825</v>
      </c>
      <c r="J751" s="59">
        <v>0</v>
      </c>
      <c r="K751" s="59">
        <v>5191.0174079239368</v>
      </c>
      <c r="L751" s="59">
        <v>0</v>
      </c>
      <c r="M751" s="11">
        <v>0.82016241550445557</v>
      </c>
      <c r="N751" s="11">
        <v>0.77188152074813843</v>
      </c>
      <c r="O751" s="11">
        <v>0.25232768058776855</v>
      </c>
      <c r="Q751" s="59">
        <v>14.312055112924979</v>
      </c>
      <c r="R751" s="78">
        <v>513.32105129041815</v>
      </c>
      <c r="S751" s="78">
        <v>14.340545941866919</v>
      </c>
      <c r="T751" s="78">
        <v>628.44409193990009</v>
      </c>
      <c r="U751" s="78">
        <v>2.8490828941940549E-2</v>
      </c>
      <c r="V751" s="78">
        <v>115.12304064948194</v>
      </c>
      <c r="Y751" s="28"/>
      <c r="Z751" s="28"/>
      <c r="AK751" s="28"/>
      <c r="AS751" s="28"/>
      <c r="AT751" s="28"/>
    </row>
    <row r="752" spans="3:46" x14ac:dyDescent="0.15">
      <c r="C752" s="11">
        <v>2.3932725191116333E-2</v>
      </c>
      <c r="D752" s="11">
        <v>1.0138273239135742E-2</v>
      </c>
      <c r="E752" s="11">
        <v>0.28530066343302002</v>
      </c>
      <c r="F752" s="11">
        <v>0</v>
      </c>
      <c r="G752" s="11">
        <v>4.0030092000961304E-2</v>
      </c>
      <c r="H752" s="40">
        <v>4.1153106371081806E-4</v>
      </c>
      <c r="I752" s="40">
        <v>1.4854206812822137</v>
      </c>
      <c r="J752" s="59">
        <v>0</v>
      </c>
      <c r="K752" s="59">
        <v>7208.9768946170807</v>
      </c>
      <c r="L752" s="59">
        <v>0</v>
      </c>
      <c r="M752" s="11">
        <v>0.80491161346435547</v>
      </c>
      <c r="N752" s="11">
        <v>0.74329197406768799</v>
      </c>
      <c r="O752" s="11">
        <v>0.34302043914794922</v>
      </c>
      <c r="Q752" s="59">
        <v>13.835649009631663</v>
      </c>
      <c r="R752" s="78">
        <v>553.54960873905634</v>
      </c>
      <c r="S752" s="78">
        <v>13.865258198032537</v>
      </c>
      <c r="T752" s="78">
        <v>625.14956450925104</v>
      </c>
      <c r="U752" s="78">
        <v>2.9609188400874231E-2</v>
      </c>
      <c r="V752" s="78">
        <v>71.599955770194697</v>
      </c>
      <c r="Y752" s="28"/>
      <c r="Z752" s="28"/>
      <c r="AK752" s="28"/>
      <c r="AS752" s="28"/>
      <c r="AT752" s="28"/>
    </row>
    <row r="753" spans="3:46" x14ac:dyDescent="0.15">
      <c r="C753" s="11">
        <v>1.9767105579376221E-2</v>
      </c>
      <c r="D753" s="11">
        <v>2.5615781545639038E-2</v>
      </c>
      <c r="E753" s="11">
        <v>0.17642563282052096</v>
      </c>
      <c r="F753" s="11">
        <v>0</v>
      </c>
      <c r="G753" s="11">
        <v>4.7418147325515747E-2</v>
      </c>
      <c r="H753" s="40">
        <v>4.0393495669843363E-4</v>
      </c>
      <c r="I753" s="40">
        <v>1.5087444929999003</v>
      </c>
      <c r="J753" s="59">
        <v>0</v>
      </c>
      <c r="K753" s="59">
        <v>7175.239734351635</v>
      </c>
      <c r="L753" s="59">
        <v>0</v>
      </c>
      <c r="M753" s="11">
        <v>0.80270051956176758</v>
      </c>
      <c r="N753" s="11">
        <v>0.72027385234832764</v>
      </c>
      <c r="O753" s="11">
        <v>0.25920575857162476</v>
      </c>
      <c r="Q753" s="59">
        <v>13.838059958816146</v>
      </c>
      <c r="R753" s="78">
        <v>566.83466874985527</v>
      </c>
      <c r="S753" s="78">
        <v>13.887454799304427</v>
      </c>
      <c r="T753" s="78">
        <v>610.00829754886479</v>
      </c>
      <c r="U753" s="78">
        <v>4.9394840488281133E-2</v>
      </c>
      <c r="V753" s="78">
        <v>43.173628799009521</v>
      </c>
      <c r="Y753" s="28"/>
      <c r="Z753" s="28"/>
      <c r="AK753" s="28"/>
      <c r="AS753" s="28"/>
      <c r="AT753" s="28"/>
    </row>
    <row r="754" spans="3:46" x14ac:dyDescent="0.15">
      <c r="C754" s="11">
        <v>6.4348876476287842E-3</v>
      </c>
      <c r="D754" s="11">
        <v>1.4350801706314087E-2</v>
      </c>
      <c r="E754" s="11">
        <v>0.30734917899680358</v>
      </c>
      <c r="F754" s="11">
        <v>0</v>
      </c>
      <c r="G754" s="11">
        <v>3.1747639179229736E-2</v>
      </c>
      <c r="H754" s="40">
        <v>5.5542881587025889E-4</v>
      </c>
      <c r="I754" s="40">
        <v>1.3990251787121015</v>
      </c>
      <c r="J754" s="59">
        <v>0</v>
      </c>
      <c r="K754" s="59">
        <v>10363.459587097168</v>
      </c>
      <c r="L754" s="59">
        <v>0</v>
      </c>
      <c r="M754" s="11">
        <v>0.88546943664550781</v>
      </c>
      <c r="N754" s="11">
        <v>0.78277170658111572</v>
      </c>
      <c r="O754" s="11">
        <v>0.32025110721588135</v>
      </c>
      <c r="Q754" s="59">
        <v>15.477923031238173</v>
      </c>
      <c r="R754" s="78">
        <v>627.83199941520854</v>
      </c>
      <c r="S754" s="78">
        <v>15.520563406216402</v>
      </c>
      <c r="T754" s="78">
        <v>651.83774837590113</v>
      </c>
      <c r="U754" s="78">
        <v>4.2640374978228479E-2</v>
      </c>
      <c r="V754" s="78">
        <v>24.005748960692586</v>
      </c>
      <c r="Y754" s="28"/>
      <c r="Z754" s="28"/>
      <c r="AK754" s="28"/>
      <c r="AS754" s="28"/>
      <c r="AT754" s="28"/>
    </row>
    <row r="755" spans="3:46" x14ac:dyDescent="0.15">
      <c r="C755" s="11">
        <v>1.8078118562698364E-2</v>
      </c>
      <c r="D755" s="11">
        <v>1.879727840423584E-2</v>
      </c>
      <c r="E755" s="11">
        <v>0.2565094873580544</v>
      </c>
      <c r="F755" s="11">
        <v>0</v>
      </c>
      <c r="G755" s="11">
        <v>0.11833953857421875</v>
      </c>
      <c r="H755" s="40">
        <v>4.6873814600678176E-4</v>
      </c>
      <c r="I755" s="40">
        <v>1.4565052202913475</v>
      </c>
      <c r="J755" s="59">
        <v>0</v>
      </c>
      <c r="K755" s="59">
        <v>3123.7024813890457</v>
      </c>
      <c r="L755" s="59">
        <v>0</v>
      </c>
      <c r="M755" s="11">
        <v>0.8406279981136322</v>
      </c>
      <c r="N755" s="11">
        <v>0.65151405334472656</v>
      </c>
      <c r="O755" s="11">
        <v>0.32190555334091187</v>
      </c>
      <c r="Q755" s="59">
        <v>14.483225475125606</v>
      </c>
      <c r="R755" s="78">
        <v>493.28926291569593</v>
      </c>
      <c r="S755" s="78">
        <v>14.554813959079498</v>
      </c>
      <c r="T755" s="78">
        <v>604.82724560723796</v>
      </c>
      <c r="U755" s="78">
        <v>7.1588483953892279E-2</v>
      </c>
      <c r="V755" s="78">
        <v>111.53798269154203</v>
      </c>
      <c r="Y755" s="28"/>
      <c r="Z755" s="28"/>
      <c r="AK755" s="28"/>
      <c r="AS755" s="28"/>
      <c r="AT755" s="28"/>
    </row>
    <row r="756" spans="3:46" x14ac:dyDescent="0.15">
      <c r="C756" s="11">
        <v>4.1962027549743652E-2</v>
      </c>
      <c r="D756" s="11">
        <v>3.1897842884063721E-2</v>
      </c>
      <c r="E756" s="11">
        <v>0.16383470506627829</v>
      </c>
      <c r="F756" s="11">
        <v>0</v>
      </c>
      <c r="G756" s="11">
        <v>1.1452436447143555E-2</v>
      </c>
      <c r="H756" s="40">
        <v>5.0997972088899306E-4</v>
      </c>
      <c r="I756" s="40">
        <v>1.4328580196474476</v>
      </c>
      <c r="J756" s="59">
        <v>0</v>
      </c>
      <c r="K756" s="59">
        <v>2318.7696933746338</v>
      </c>
      <c r="L756" s="59">
        <v>0</v>
      </c>
      <c r="M756" s="11">
        <v>0.82322007417678833</v>
      </c>
      <c r="N756" s="11">
        <v>0.77106261253356934</v>
      </c>
      <c r="O756" s="11">
        <v>0.26313126087188721</v>
      </c>
      <c r="Q756" s="59">
        <v>13.884796939559436</v>
      </c>
      <c r="R756" s="78">
        <v>439.29573246351788</v>
      </c>
      <c r="S756" s="78">
        <v>13.923144863902236</v>
      </c>
      <c r="T756" s="78">
        <v>586.54937024628873</v>
      </c>
      <c r="U756" s="78">
        <v>3.8347924342799544E-2</v>
      </c>
      <c r="V756" s="78">
        <v>147.25363778277085</v>
      </c>
      <c r="Y756" s="28"/>
      <c r="Z756" s="28"/>
      <c r="AK756" s="28"/>
      <c r="AS756" s="28"/>
      <c r="AT756" s="28"/>
    </row>
    <row r="757" spans="3:46" x14ac:dyDescent="0.15">
      <c r="C757" s="11">
        <v>7.3027461767196655E-3</v>
      </c>
      <c r="D757" s="11">
        <v>2.0868271589279175E-2</v>
      </c>
      <c r="E757" s="11">
        <v>0.23777848443502508</v>
      </c>
      <c r="F757" s="11">
        <v>0</v>
      </c>
      <c r="G757" s="11">
        <v>3.5998106002807617E-2</v>
      </c>
      <c r="H757" s="40">
        <v>3.5381160396344376E-4</v>
      </c>
      <c r="I757" s="40">
        <v>1.4973196792201813</v>
      </c>
      <c r="J757" s="59">
        <v>0</v>
      </c>
      <c r="K757" s="59">
        <v>4038.375336676836</v>
      </c>
      <c r="L757" s="59">
        <v>0</v>
      </c>
      <c r="M757" s="11">
        <v>0.84747928380966187</v>
      </c>
      <c r="N757" s="11">
        <v>0.70225000381469727</v>
      </c>
      <c r="O757" s="11">
        <v>0.31061601638793945</v>
      </c>
      <c r="Q757" s="59">
        <v>14.794713077704698</v>
      </c>
      <c r="R757" s="78">
        <v>473.20724956805248</v>
      </c>
      <c r="S757" s="78">
        <v>14.844390357444613</v>
      </c>
      <c r="T757" s="78">
        <v>598.08439959328541</v>
      </c>
      <c r="U757" s="78">
        <v>4.9677279739915647E-2</v>
      </c>
      <c r="V757" s="78">
        <v>124.87715002523294</v>
      </c>
      <c r="Y757" s="28"/>
      <c r="Z757" s="28"/>
      <c r="AK757" s="28"/>
      <c r="AS757" s="28"/>
      <c r="AT757" s="28"/>
    </row>
    <row r="758" spans="3:46" x14ac:dyDescent="0.15">
      <c r="C758" s="11">
        <v>9.2908293008804321E-3</v>
      </c>
      <c r="D758" s="11">
        <v>2.5649577379226685E-2</v>
      </c>
      <c r="E758" s="11">
        <v>0.22909633213865763</v>
      </c>
      <c r="F758" s="11">
        <v>0</v>
      </c>
      <c r="G758" s="11">
        <v>6.0372471809387207E-2</v>
      </c>
      <c r="H758" s="40">
        <v>4.9146760052909823E-4</v>
      </c>
      <c r="I758" s="40">
        <v>1.4214186879337607</v>
      </c>
      <c r="J758" s="59">
        <v>0</v>
      </c>
      <c r="K758" s="59">
        <v>2921.8196868896484</v>
      </c>
      <c r="L758" s="59">
        <v>0</v>
      </c>
      <c r="M758" s="11">
        <v>0.84375238418579102</v>
      </c>
      <c r="N758" s="11">
        <v>0.7378009557723999</v>
      </c>
      <c r="O758" s="11">
        <v>0.29804152250289917</v>
      </c>
      <c r="Q758" s="59">
        <v>14.699001348815711</v>
      </c>
      <c r="R758" s="78">
        <v>465.27491726699958</v>
      </c>
      <c r="S758" s="78">
        <v>14.749799880865343</v>
      </c>
      <c r="T758" s="78">
        <v>595.55800522431684</v>
      </c>
      <c r="U758" s="78">
        <v>5.0798532049631362E-2</v>
      </c>
      <c r="V758" s="78">
        <v>130.28308795731726</v>
      </c>
      <c r="Y758" s="28"/>
      <c r="Z758" s="28"/>
      <c r="AK758" s="28"/>
      <c r="AS758" s="28"/>
      <c r="AT758" s="28"/>
    </row>
    <row r="759" spans="3:46" x14ac:dyDescent="0.15">
      <c r="C759" s="11">
        <v>7.0001035928726196E-3</v>
      </c>
      <c r="D759" s="11">
        <v>3.2911747694015503E-2</v>
      </c>
      <c r="E759" s="11">
        <v>0.3916952274237519</v>
      </c>
      <c r="F759" s="11">
        <v>0</v>
      </c>
      <c r="G759" s="11">
        <v>5.179363489151001E-2</v>
      </c>
      <c r="H759" s="40">
        <v>6.2443373230010519E-4</v>
      </c>
      <c r="I759" s="40">
        <v>1.3549889279007497</v>
      </c>
      <c r="J759" s="59">
        <v>0</v>
      </c>
      <c r="K759" s="59">
        <v>5654.9464352428913</v>
      </c>
      <c r="L759" s="59">
        <v>0</v>
      </c>
      <c r="M759" s="11">
        <v>0.85519841313362122</v>
      </c>
      <c r="N759" s="11">
        <v>0.75732123851776123</v>
      </c>
      <c r="O759" s="11">
        <v>0.33101493120193481</v>
      </c>
      <c r="Q759" s="59">
        <v>14.933391106283009</v>
      </c>
      <c r="R759" s="78">
        <v>532.80920323873443</v>
      </c>
      <c r="S759" s="78">
        <v>14.973645933509282</v>
      </c>
      <c r="T759" s="78">
        <v>633.9806845586287</v>
      </c>
      <c r="U759" s="78">
        <v>4.0254827226272383E-2</v>
      </c>
      <c r="V759" s="78">
        <v>101.17148131989427</v>
      </c>
      <c r="Y759" s="28"/>
      <c r="Z759" s="28"/>
      <c r="AK759" s="28"/>
      <c r="AS759" s="28"/>
      <c r="AT759" s="28"/>
    </row>
    <row r="760" spans="3:46" x14ac:dyDescent="0.15">
      <c r="C760" s="11">
        <v>7.413819432258606E-3</v>
      </c>
      <c r="D760" s="11">
        <v>3.0796825885772705E-2</v>
      </c>
      <c r="E760" s="11">
        <v>0.2553381810319989</v>
      </c>
      <c r="F760" s="11">
        <v>0</v>
      </c>
      <c r="G760" s="11">
        <v>4.2003333568572998E-2</v>
      </c>
      <c r="H760" s="40">
        <v>7.8747844293483701E-4</v>
      </c>
      <c r="I760" s="40">
        <v>1.3968346504335787</v>
      </c>
      <c r="J760" s="59">
        <v>0</v>
      </c>
      <c r="K760" s="59">
        <v>5304.1707724332809</v>
      </c>
      <c r="L760" s="59">
        <v>0</v>
      </c>
      <c r="M760" s="11">
        <v>0.84479501843452454</v>
      </c>
      <c r="N760" s="11">
        <v>0.67653703689575195</v>
      </c>
      <c r="O760" s="11">
        <v>0.31424224376678467</v>
      </c>
      <c r="Q760" s="59">
        <v>14.690421072057617</v>
      </c>
      <c r="R760" s="78">
        <v>569.57606120683749</v>
      </c>
      <c r="S760" s="78">
        <v>14.779860507474858</v>
      </c>
      <c r="T760" s="78">
        <v>624.73740669865128</v>
      </c>
      <c r="U760" s="78">
        <v>8.9439435417240531E-2</v>
      </c>
      <c r="V760" s="78">
        <v>55.16134549181379</v>
      </c>
      <c r="Y760" s="28"/>
      <c r="Z760" s="28"/>
      <c r="AK760" s="28"/>
      <c r="AS760" s="28"/>
      <c r="AT760" s="28"/>
    </row>
    <row r="761" spans="3:46" x14ac:dyDescent="0.15">
      <c r="C761" s="11">
        <v>2.3007169365882874E-2</v>
      </c>
      <c r="D761" s="11">
        <v>1.3724833726882935E-2</v>
      </c>
      <c r="E761" s="11">
        <v>0.19832957546533905</v>
      </c>
      <c r="F761" s="11">
        <v>0</v>
      </c>
      <c r="G761" s="11">
        <v>6.0631394386291504E-2</v>
      </c>
      <c r="H761" s="40">
        <v>5.4078471695667393E-4</v>
      </c>
      <c r="I761" s="40">
        <v>1.4127066864584386</v>
      </c>
      <c r="J761" s="59">
        <v>0</v>
      </c>
      <c r="K761" s="59">
        <v>5544.8198691010475</v>
      </c>
      <c r="L761" s="59">
        <v>0</v>
      </c>
      <c r="M761" s="11">
        <v>0.88076269626617432</v>
      </c>
      <c r="N761" s="11">
        <v>0.69062697887420654</v>
      </c>
      <c r="O761" s="11">
        <v>0.27105844020843506</v>
      </c>
      <c r="Q761" s="59">
        <v>15.104641460854388</v>
      </c>
      <c r="R761" s="78">
        <v>537.76806635247181</v>
      </c>
      <c r="S761" s="78">
        <v>15.180340582145572</v>
      </c>
      <c r="T761" s="78">
        <v>607.95738137763692</v>
      </c>
      <c r="U761" s="78">
        <v>7.5699121291183502E-2</v>
      </c>
      <c r="V761" s="78">
        <v>70.189315025165115</v>
      </c>
      <c r="Y761" s="28"/>
      <c r="Z761" s="28"/>
      <c r="AK761" s="28"/>
      <c r="AS761" s="28"/>
      <c r="AT761" s="28"/>
    </row>
    <row r="762" spans="3:46" x14ac:dyDescent="0.15">
      <c r="C762" s="11">
        <v>1.9525960087776184E-2</v>
      </c>
      <c r="D762" s="11">
        <v>2.8688907623291016E-3</v>
      </c>
      <c r="E762" s="11">
        <v>0.16390498160000166</v>
      </c>
      <c r="F762" s="11">
        <v>0</v>
      </c>
      <c r="G762" s="11">
        <v>6.1203598976135254E-2</v>
      </c>
      <c r="H762" s="40">
        <v>5.8631300369553475E-4</v>
      </c>
      <c r="I762" s="40">
        <v>1.400306637653749</v>
      </c>
      <c r="J762" s="59">
        <v>0</v>
      </c>
      <c r="K762" s="59">
        <v>4869.227996096015</v>
      </c>
      <c r="L762" s="59">
        <v>0</v>
      </c>
      <c r="M762" s="11">
        <v>0.78190994262695312</v>
      </c>
      <c r="N762" s="11">
        <v>0.72598767280578613</v>
      </c>
      <c r="O762" s="11">
        <v>0.27556717395782471</v>
      </c>
      <c r="Q762" s="59">
        <v>13.49483262445454</v>
      </c>
      <c r="R762" s="78">
        <v>527.32205621897992</v>
      </c>
      <c r="S762" s="78">
        <v>13.533817192497478</v>
      </c>
      <c r="T762" s="78">
        <v>601.22032764301684</v>
      </c>
      <c r="U762" s="78">
        <v>3.898456804293815E-2</v>
      </c>
      <c r="V762" s="78">
        <v>73.898271424036921</v>
      </c>
      <c r="Y762" s="28"/>
      <c r="Z762" s="28"/>
      <c r="AK762" s="28"/>
      <c r="AS762" s="28"/>
      <c r="AT762" s="28"/>
    </row>
    <row r="763" spans="3:46" x14ac:dyDescent="0.15">
      <c r="C763" s="11">
        <v>5.305558443069458E-3</v>
      </c>
      <c r="D763" s="11">
        <v>5.1947534084320068E-3</v>
      </c>
      <c r="E763" s="11">
        <v>0.15908003657635467</v>
      </c>
      <c r="F763" s="11">
        <v>0</v>
      </c>
      <c r="G763" s="11">
        <v>9.2036247253417969E-2</v>
      </c>
      <c r="H763" s="40">
        <v>4.5379830715023336E-4</v>
      </c>
      <c r="I763" s="40">
        <v>1.4009828737437484</v>
      </c>
      <c r="J763" s="59">
        <v>0</v>
      </c>
      <c r="K763" s="59">
        <v>6154.4449999928474</v>
      </c>
      <c r="L763" s="59">
        <v>0</v>
      </c>
      <c r="M763" s="11">
        <v>0.84487855434417725</v>
      </c>
      <c r="N763" s="11">
        <v>0.76126712560653687</v>
      </c>
      <c r="O763" s="11">
        <v>0.28892737627029419</v>
      </c>
      <c r="Q763" s="59">
        <v>14.793884817851257</v>
      </c>
      <c r="R763" s="78">
        <v>545.0497281954971</v>
      </c>
      <c r="S763" s="78">
        <v>14.836238853662483</v>
      </c>
      <c r="T763" s="78">
        <v>603.33871395347251</v>
      </c>
      <c r="U763" s="78">
        <v>4.2354035811225543E-2</v>
      </c>
      <c r="V763" s="78">
        <v>58.288985757975411</v>
      </c>
      <c r="Y763" s="28"/>
      <c r="Z763" s="28"/>
      <c r="AK763" s="28"/>
      <c r="AS763" s="28"/>
      <c r="AT763" s="28"/>
    </row>
    <row r="764" spans="3:46" x14ac:dyDescent="0.15">
      <c r="C764" s="11">
        <v>3.9218306541442871E-2</v>
      </c>
      <c r="D764" s="11">
        <v>8.2423537969589233E-3</v>
      </c>
      <c r="E764" s="11">
        <v>0.31191032104875172</v>
      </c>
      <c r="F764" s="11">
        <v>0</v>
      </c>
      <c r="G764" s="11">
        <v>5.1484107971191406E-2</v>
      </c>
      <c r="H764" s="40">
        <v>4.0186509932603595E-4</v>
      </c>
      <c r="I764" s="40">
        <v>1.413514186182818</v>
      </c>
      <c r="J764" s="59">
        <v>0</v>
      </c>
      <c r="K764" s="59">
        <v>5964.2735868692398</v>
      </c>
      <c r="L764" s="59">
        <v>0</v>
      </c>
      <c r="M764" s="11">
        <v>0.89534127712249756</v>
      </c>
      <c r="N764" s="11">
        <v>0.73802882432937622</v>
      </c>
      <c r="O764" s="11">
        <v>0.27191668748855591</v>
      </c>
      <c r="Q764" s="59">
        <v>15.133890266925722</v>
      </c>
      <c r="R764" s="78">
        <v>503.3437305675867</v>
      </c>
      <c r="S764" s="78">
        <v>15.175509849567085</v>
      </c>
      <c r="T764" s="78">
        <v>613.44714787080579</v>
      </c>
      <c r="U764" s="78">
        <v>4.1619582641363451E-2</v>
      </c>
      <c r="V764" s="78">
        <v>110.10341730321909</v>
      </c>
      <c r="Y764" s="28"/>
      <c r="Z764" s="28"/>
      <c r="AK764" s="28"/>
      <c r="AS764" s="28"/>
      <c r="AT764" s="28"/>
    </row>
    <row r="765" spans="3:46" x14ac:dyDescent="0.15">
      <c r="C765" s="11">
        <v>2.0741909742355347E-2</v>
      </c>
      <c r="D765" s="11">
        <v>3.7716686725616455E-2</v>
      </c>
      <c r="E765" s="11">
        <v>0.77974369252281128</v>
      </c>
      <c r="F765" s="11">
        <v>0</v>
      </c>
      <c r="G765" s="11">
        <v>4.4513344764709473E-2</v>
      </c>
      <c r="H765" s="40">
        <v>2.6486044143081509E-4</v>
      </c>
      <c r="I765" s="40">
        <v>1.5826803503409108</v>
      </c>
      <c r="J765" s="59">
        <v>0</v>
      </c>
      <c r="K765" s="59">
        <v>5256.0027688741684</v>
      </c>
      <c r="L765" s="59">
        <v>0</v>
      </c>
      <c r="M765" s="11">
        <v>0.80592024326324463</v>
      </c>
      <c r="N765" s="11">
        <v>0.76169991493225098</v>
      </c>
      <c r="O765" s="11">
        <v>0.30474337935447693</v>
      </c>
      <c r="Q765" s="59">
        <v>13.898795939732215</v>
      </c>
      <c r="R765" s="78">
        <v>495.59089671013004</v>
      </c>
      <c r="S765" s="78">
        <v>13.90776015797077</v>
      </c>
      <c r="T765" s="78">
        <v>658.51766494368769</v>
      </c>
      <c r="U765" s="78">
        <v>8.9642182385549773E-3</v>
      </c>
      <c r="V765" s="78">
        <v>162.92676823355765</v>
      </c>
      <c r="Y765" s="28"/>
      <c r="Z765" s="28"/>
      <c r="AK765" s="28"/>
      <c r="AS765" s="28"/>
      <c r="AT765" s="28"/>
    </row>
    <row r="766" spans="3:46" x14ac:dyDescent="0.15">
      <c r="C766" s="11">
        <v>1.3327375054359436E-2</v>
      </c>
      <c r="D766" s="11">
        <v>2.2701025009155273E-2</v>
      </c>
      <c r="E766" s="11">
        <v>0.23970630694009146</v>
      </c>
      <c r="F766" s="11">
        <v>0</v>
      </c>
      <c r="G766" s="11">
        <v>1.0828197002410889E-2</v>
      </c>
      <c r="H766" s="40">
        <v>3.7821405344035347E-4</v>
      </c>
      <c r="I766" s="40">
        <v>1.5324750381588725</v>
      </c>
      <c r="J766" s="59">
        <v>0</v>
      </c>
      <c r="K766" s="59">
        <v>8510.4070603847504</v>
      </c>
      <c r="L766" s="59">
        <v>0</v>
      </c>
      <c r="M766" s="11">
        <v>0.84075552225112915</v>
      </c>
      <c r="N766" s="11">
        <v>0.79547274112701416</v>
      </c>
      <c r="O766" s="11">
        <v>0.35718774795532227</v>
      </c>
      <c r="Q766" s="59">
        <v>14.612849601683738</v>
      </c>
      <c r="R766" s="78">
        <v>563.83369115216669</v>
      </c>
      <c r="S766" s="78">
        <v>14.643057900785138</v>
      </c>
      <c r="T766" s="78">
        <v>620.38315862034563</v>
      </c>
      <c r="U766" s="78">
        <v>3.020829910139966E-2</v>
      </c>
      <c r="V766" s="78">
        <v>56.549467468178932</v>
      </c>
      <c r="Y766" s="28"/>
      <c r="Z766" s="28"/>
      <c r="AK766" s="28"/>
      <c r="AS766" s="28"/>
      <c r="AT766" s="28"/>
    </row>
    <row r="767" spans="3:46" x14ac:dyDescent="0.15">
      <c r="C767" s="11">
        <v>2.6921898126602173E-2</v>
      </c>
      <c r="D767" s="11">
        <v>4.4267475605010986E-3</v>
      </c>
      <c r="E767" s="11">
        <v>0.15670763171064644</v>
      </c>
      <c r="F767" s="11">
        <v>0</v>
      </c>
      <c r="G767" s="11">
        <v>4.0558934211730957E-2</v>
      </c>
      <c r="H767" s="40">
        <v>3.4073238395707041E-4</v>
      </c>
      <c r="I767" s="40">
        <v>1.524452782536116</v>
      </c>
      <c r="J767" s="59">
        <v>0</v>
      </c>
      <c r="K767" s="59">
        <v>6014.4136659801006</v>
      </c>
      <c r="L767" s="59">
        <v>0</v>
      </c>
      <c r="M767" s="11">
        <v>0.815743088722229</v>
      </c>
      <c r="N767" s="11">
        <v>0.74357879161834717</v>
      </c>
      <c r="O767" s="11">
        <v>0.32704585790634155</v>
      </c>
      <c r="Q767" s="59">
        <v>13.97971936232406</v>
      </c>
      <c r="R767" s="78">
        <v>517.86807768038454</v>
      </c>
      <c r="S767" s="78">
        <v>14.014432156276552</v>
      </c>
      <c r="T767" s="78">
        <v>598.71254849601235</v>
      </c>
      <c r="U767" s="78">
        <v>3.4712793952492049E-2</v>
      </c>
      <c r="V767" s="78">
        <v>80.844470815627801</v>
      </c>
      <c r="Y767" s="28"/>
      <c r="Z767" s="28"/>
      <c r="AK767" s="28"/>
      <c r="AS767" s="28"/>
      <c r="AT767" s="28"/>
    </row>
    <row r="768" spans="3:46" x14ac:dyDescent="0.15">
      <c r="C768" s="11">
        <v>1.8336206674575806E-2</v>
      </c>
      <c r="D768" s="11">
        <v>2.4222999811172485E-2</v>
      </c>
      <c r="E768" s="11">
        <v>0.30120123469860904</v>
      </c>
      <c r="F768" s="11">
        <v>0</v>
      </c>
      <c r="G768" s="11">
        <v>3.2160937786102295E-2</v>
      </c>
      <c r="H768" s="40">
        <v>4.4766308948716247E-4</v>
      </c>
      <c r="I768" s="40">
        <v>1.5327652325142218</v>
      </c>
      <c r="J768" s="59">
        <v>0</v>
      </c>
      <c r="K768" s="59">
        <v>3881.6966116428375</v>
      </c>
      <c r="L768" s="59">
        <v>0</v>
      </c>
      <c r="M768" s="11">
        <v>0.83961254358291626</v>
      </c>
      <c r="N768" s="11">
        <v>0.70133042335510254</v>
      </c>
      <c r="O768" s="11">
        <v>0.26186752319335938</v>
      </c>
      <c r="Q768" s="59">
        <v>14.46817798286132</v>
      </c>
      <c r="R768" s="78">
        <v>496.78496894090341</v>
      </c>
      <c r="S768" s="78">
        <v>14.53083539856088</v>
      </c>
      <c r="T768" s="78">
        <v>610.50080806608867</v>
      </c>
      <c r="U768" s="78">
        <v>6.2657415699559849E-2</v>
      </c>
      <c r="V768" s="78">
        <v>113.71583912518525</v>
      </c>
      <c r="Y768" s="28"/>
      <c r="Z768" s="28"/>
      <c r="AK768" s="28"/>
      <c r="AS768" s="28"/>
      <c r="AT768" s="28"/>
    </row>
    <row r="769" spans="3:46" x14ac:dyDescent="0.15">
      <c r="C769" s="11">
        <v>4.747539758682251E-3</v>
      </c>
      <c r="D769" s="11">
        <v>1.5020012855529785E-2</v>
      </c>
      <c r="E769" s="11">
        <v>0.45858281438548032</v>
      </c>
      <c r="F769" s="11">
        <v>0</v>
      </c>
      <c r="G769" s="11">
        <v>8.0834865570068359E-2</v>
      </c>
      <c r="H769" s="40">
        <v>4.6632940119582203E-4</v>
      </c>
      <c r="I769" s="40">
        <v>1.4061305243148574</v>
      </c>
      <c r="J769" s="59">
        <v>0</v>
      </c>
      <c r="K769" s="59">
        <v>8617.1180009841919</v>
      </c>
      <c r="L769" s="59">
        <v>0</v>
      </c>
      <c r="M769" s="11">
        <v>0.81397396326065063</v>
      </c>
      <c r="N769" s="11">
        <v>0.73646789789199829</v>
      </c>
      <c r="O769" s="11">
        <v>0.29941484332084656</v>
      </c>
      <c r="Q769" s="59">
        <v>14.258621532005286</v>
      </c>
      <c r="R769" s="78">
        <v>604.11018537318591</v>
      </c>
      <c r="S769" s="78">
        <v>14.285889869828546</v>
      </c>
      <c r="T769" s="78">
        <v>676.19198513455967</v>
      </c>
      <c r="U769" s="78">
        <v>2.7268337823260325E-2</v>
      </c>
      <c r="V769" s="78">
        <v>72.081799761373759</v>
      </c>
      <c r="Y769" s="28"/>
      <c r="Z769" s="28"/>
      <c r="AK769" s="28"/>
      <c r="AS769" s="28"/>
      <c r="AT769" s="28"/>
    </row>
    <row r="770" spans="3:46" x14ac:dyDescent="0.15">
      <c r="C770" s="11">
        <v>2.649572491645813E-2</v>
      </c>
      <c r="D770" s="11">
        <v>7.5882375240325928E-3</v>
      </c>
      <c r="E770" s="11">
        <v>0.2154298168292772</v>
      </c>
      <c r="F770" s="11">
        <v>0</v>
      </c>
      <c r="G770" s="11">
        <v>4.4098645448684692E-2</v>
      </c>
      <c r="H770" s="40">
        <v>6.2083366540805136E-4</v>
      </c>
      <c r="I770" s="40">
        <v>1.4356858553802241</v>
      </c>
      <c r="J770" s="59">
        <v>0</v>
      </c>
      <c r="K770" s="59">
        <v>5260.3171207010746</v>
      </c>
      <c r="L770" s="59">
        <v>0</v>
      </c>
      <c r="M770" s="11">
        <v>0.8566514253616333</v>
      </c>
      <c r="N770" s="11">
        <v>0.69443202018737793</v>
      </c>
      <c r="O770" s="11">
        <v>0.28576534986495972</v>
      </c>
      <c r="Q770" s="59">
        <v>14.632891757082566</v>
      </c>
      <c r="R770" s="78">
        <v>547.88665508711995</v>
      </c>
      <c r="S770" s="78">
        <v>14.709094157276565</v>
      </c>
      <c r="T770" s="78">
        <v>612.78797878902799</v>
      </c>
      <c r="U770" s="78">
        <v>7.6202400193999154E-2</v>
      </c>
      <c r="V770" s="78">
        <v>64.901323701908041</v>
      </c>
      <c r="Y770" s="28"/>
      <c r="Z770" s="28"/>
      <c r="AK770" s="28"/>
      <c r="AS770" s="28"/>
      <c r="AT770" s="28"/>
    </row>
    <row r="771" spans="3:46" x14ac:dyDescent="0.15">
      <c r="C771" s="11">
        <v>2.3262947797775269E-2</v>
      </c>
      <c r="D771" s="11">
        <v>9.350016713142395E-3</v>
      </c>
      <c r="E771" s="11">
        <v>0.18782107935906081</v>
      </c>
      <c r="F771" s="11">
        <v>0</v>
      </c>
      <c r="G771" s="11">
        <v>6.0556709766387939E-2</v>
      </c>
      <c r="H771" s="40">
        <v>6.0346611832434434E-4</v>
      </c>
      <c r="I771" s="40">
        <v>1.4050870222536804</v>
      </c>
      <c r="J771" s="59">
        <v>0</v>
      </c>
      <c r="K771" s="59">
        <v>3655.7717248797417</v>
      </c>
      <c r="L771" s="59">
        <v>0</v>
      </c>
      <c r="M771" s="11">
        <v>0.80410134792327881</v>
      </c>
      <c r="N771" s="11">
        <v>0.78066182136535645</v>
      </c>
      <c r="O771" s="11">
        <v>0.29131710529327393</v>
      </c>
      <c r="Q771" s="59">
        <v>13.832225194751903</v>
      </c>
      <c r="R771" s="78">
        <v>497.40053018546507</v>
      </c>
      <c r="S771" s="78">
        <v>13.865093935146778</v>
      </c>
      <c r="T771" s="78">
        <v>598.7535794191723</v>
      </c>
      <c r="U771" s="78">
        <v>3.2868740394874862E-2</v>
      </c>
      <c r="V771" s="78">
        <v>101.35304923370722</v>
      </c>
      <c r="Y771" s="28"/>
      <c r="Z771" s="28"/>
      <c r="AK771" s="28"/>
      <c r="AS771" s="28"/>
      <c r="AT771" s="28"/>
    </row>
    <row r="772" spans="3:46" x14ac:dyDescent="0.15">
      <c r="C772" s="11">
        <v>2.5792449712753296E-2</v>
      </c>
      <c r="D772" s="11">
        <v>2.5728583335876465E-2</v>
      </c>
      <c r="E772" s="11">
        <v>0.16308484558998967</v>
      </c>
      <c r="F772" s="11">
        <v>0</v>
      </c>
      <c r="G772" s="11">
        <v>4.4777572154998779E-2</v>
      </c>
      <c r="H772" s="40">
        <v>5.1090095971611138E-4</v>
      </c>
      <c r="I772" s="40">
        <v>1.4153089086483839</v>
      </c>
      <c r="J772" s="59">
        <v>0</v>
      </c>
      <c r="K772" s="59">
        <v>7280.716672539711</v>
      </c>
      <c r="L772" s="59">
        <v>0</v>
      </c>
      <c r="M772" s="11">
        <v>0.8116145133972168</v>
      </c>
      <c r="N772" s="11">
        <v>0.73387670516967773</v>
      </c>
      <c r="O772" s="11">
        <v>0.27426081895828247</v>
      </c>
      <c r="Q772" s="59">
        <v>13.911040038981</v>
      </c>
      <c r="R772" s="78">
        <v>559.82807067531837</v>
      </c>
      <c r="S772" s="78">
        <v>13.957084498658483</v>
      </c>
      <c r="T772" s="78">
        <v>606.46927948146094</v>
      </c>
      <c r="U772" s="78">
        <v>4.6044459677483829E-2</v>
      </c>
      <c r="V772" s="78">
        <v>46.641208806142572</v>
      </c>
      <c r="Y772" s="28"/>
      <c r="Z772" s="28"/>
      <c r="AK772" s="28"/>
      <c r="AS772" s="28"/>
      <c r="AT772" s="28"/>
    </row>
    <row r="773" spans="3:46" x14ac:dyDescent="0.15">
      <c r="C773" s="11">
        <v>5.9156864881515503E-3</v>
      </c>
      <c r="D773" s="11">
        <v>1.9543826580047607E-2</v>
      </c>
      <c r="E773" s="11">
        <v>0.35230248680758725</v>
      </c>
      <c r="F773" s="11">
        <v>0</v>
      </c>
      <c r="G773" s="11">
        <v>2.5835424661636353E-2</v>
      </c>
      <c r="H773" s="40">
        <v>4.0654553975316574E-4</v>
      </c>
      <c r="I773" s="40">
        <v>1.4208411151693658</v>
      </c>
      <c r="J773" s="59">
        <v>0</v>
      </c>
      <c r="K773" s="59">
        <v>4684.9343925714493</v>
      </c>
      <c r="L773" s="59">
        <v>0</v>
      </c>
      <c r="M773" s="11">
        <v>0.85382473468780518</v>
      </c>
      <c r="N773" s="11">
        <v>0.8231196403503418</v>
      </c>
      <c r="O773" s="11">
        <v>0.28155076503753662</v>
      </c>
      <c r="Q773" s="59">
        <v>14.960718864320391</v>
      </c>
      <c r="R773" s="78">
        <v>474.1069003982455</v>
      </c>
      <c r="S773" s="78">
        <v>14.981090397922843</v>
      </c>
      <c r="T773" s="78">
        <v>607.50505844809345</v>
      </c>
      <c r="U773" s="78">
        <v>2.0371533602451919E-2</v>
      </c>
      <c r="V773" s="78">
        <v>133.39815804984795</v>
      </c>
      <c r="Y773" s="28"/>
      <c r="Z773" s="28"/>
      <c r="AK773" s="28"/>
      <c r="AS773" s="28"/>
      <c r="AT773" s="28"/>
    </row>
    <row r="774" spans="3:46" x14ac:dyDescent="0.15">
      <c r="C774" s="11">
        <v>1.1972561478614807E-2</v>
      </c>
      <c r="D774" s="11">
        <v>1.0485008358955383E-2</v>
      </c>
      <c r="E774" s="11">
        <v>0.26466630401428942</v>
      </c>
      <c r="F774" s="11">
        <v>0</v>
      </c>
      <c r="G774" s="11">
        <v>2.4574100971221924E-2</v>
      </c>
      <c r="H774" s="40">
        <v>5.1725213525785651E-4</v>
      </c>
      <c r="I774" s="40">
        <v>1.4454305240709113</v>
      </c>
      <c r="J774" s="59">
        <v>0</v>
      </c>
      <c r="K774" s="59">
        <v>4164.8163460195065</v>
      </c>
      <c r="L774" s="59">
        <v>0</v>
      </c>
      <c r="M774" s="11">
        <v>0.81493079662322998</v>
      </c>
      <c r="N774" s="11">
        <v>0.65822601318359375</v>
      </c>
      <c r="O774" s="11">
        <v>0.27363455295562744</v>
      </c>
      <c r="Q774" s="59">
        <v>14.142115620171291</v>
      </c>
      <c r="R774" s="78">
        <v>489.70321127829072</v>
      </c>
      <c r="S774" s="78">
        <v>14.200666041296437</v>
      </c>
      <c r="T774" s="78">
        <v>604.7300401682578</v>
      </c>
      <c r="U774" s="78">
        <v>5.8550421125145746E-2</v>
      </c>
      <c r="V774" s="78">
        <v>115.02682888996708</v>
      </c>
      <c r="Y774" s="28"/>
      <c r="Z774" s="28"/>
      <c r="AK774" s="28"/>
      <c r="AS774" s="28"/>
      <c r="AT774" s="28"/>
    </row>
    <row r="775" spans="3:46" x14ac:dyDescent="0.15">
      <c r="C775" s="11">
        <v>3.473132848739624E-3</v>
      </c>
      <c r="D775" s="11">
        <v>2.6504963636398315E-2</v>
      </c>
      <c r="E775" s="11">
        <v>0.30875001649737221</v>
      </c>
      <c r="F775" s="11">
        <v>0</v>
      </c>
      <c r="G775" s="11">
        <v>2.7798384428024292E-2</v>
      </c>
      <c r="H775" s="40">
        <v>5.3018018000966028E-4</v>
      </c>
      <c r="I775" s="40">
        <v>1.4423842904076962</v>
      </c>
      <c r="J775" s="59">
        <v>0</v>
      </c>
      <c r="K775" s="59">
        <v>4322.913009673357</v>
      </c>
      <c r="L775" s="59">
        <v>0</v>
      </c>
      <c r="M775" s="11">
        <v>0.84329849481582642</v>
      </c>
      <c r="N775" s="11">
        <v>0.79131084680557251</v>
      </c>
      <c r="O775" s="11">
        <v>0.30967795848846436</v>
      </c>
      <c r="Q775" s="59">
        <v>14.791907880740077</v>
      </c>
      <c r="R775" s="78">
        <v>497.31046788524833</v>
      </c>
      <c r="S775" s="78">
        <v>14.827585592522194</v>
      </c>
      <c r="T775" s="78">
        <v>611.37612945473393</v>
      </c>
      <c r="U775" s="78">
        <v>3.5677711782117427E-2</v>
      </c>
      <c r="V775" s="78">
        <v>114.0656615694856</v>
      </c>
      <c r="Y775" s="28"/>
      <c r="Z775" s="28"/>
      <c r="AK775" s="28"/>
      <c r="AS775" s="28"/>
      <c r="AT775" s="28"/>
    </row>
    <row r="776" spans="3:46" x14ac:dyDescent="0.15">
      <c r="C776" s="11">
        <v>1.7958253622055054E-2</v>
      </c>
      <c r="D776" s="11">
        <v>1.9472599029541016E-2</v>
      </c>
      <c r="E776" s="11">
        <v>0.48985330348254474</v>
      </c>
      <c r="F776" s="11">
        <v>0</v>
      </c>
      <c r="G776" s="11">
        <v>6.1198711395263672E-2</v>
      </c>
      <c r="H776" s="40">
        <v>4.4137130821981163E-4</v>
      </c>
      <c r="I776" s="40">
        <v>1.3971167952110939</v>
      </c>
      <c r="J776" s="59">
        <v>0</v>
      </c>
      <c r="K776" s="59">
        <v>2420.2838540077209</v>
      </c>
      <c r="L776" s="59">
        <v>0</v>
      </c>
      <c r="M776" s="11">
        <v>0.85858553647994995</v>
      </c>
      <c r="N776" s="11">
        <v>0.79990065097808838</v>
      </c>
      <c r="O776" s="11">
        <v>0.29946506023406982</v>
      </c>
      <c r="Q776" s="59">
        <v>14.850388793495554</v>
      </c>
      <c r="R776" s="78">
        <v>443.41989039896941</v>
      </c>
      <c r="S776" s="78">
        <v>14.872109579551529</v>
      </c>
      <c r="T776" s="78">
        <v>603.39324262586251</v>
      </c>
      <c r="U776" s="78">
        <v>2.1720786055974273E-2</v>
      </c>
      <c r="V776" s="78">
        <v>159.9733522268931</v>
      </c>
      <c r="Y776" s="28"/>
      <c r="Z776" s="28"/>
      <c r="AK776" s="28"/>
      <c r="AS776" s="28"/>
      <c r="AT776" s="28"/>
    </row>
    <row r="777" spans="3:46" x14ac:dyDescent="0.15">
      <c r="C777" s="11">
        <v>9.5898807048797607E-3</v>
      </c>
      <c r="D777" s="11">
        <v>1.8593162298202515E-2</v>
      </c>
      <c r="E777" s="11">
        <v>0.13546824024905824</v>
      </c>
      <c r="F777" s="11">
        <v>0</v>
      </c>
      <c r="G777" s="11">
        <v>1.3917326927185059E-2</v>
      </c>
      <c r="H777" s="40">
        <v>6.2889895240995507E-4</v>
      </c>
      <c r="I777" s="40">
        <v>1.4146932946858772</v>
      </c>
      <c r="J777" s="59">
        <v>0</v>
      </c>
      <c r="K777" s="59">
        <v>4424.836952239275</v>
      </c>
      <c r="L777" s="59">
        <v>0</v>
      </c>
      <c r="M777" s="11">
        <v>0.88403934240341187</v>
      </c>
      <c r="N777" s="11">
        <v>0.77747094631195068</v>
      </c>
      <c r="O777" s="11">
        <v>0.31264108419418335</v>
      </c>
      <c r="Q777" s="59">
        <v>15.392826381371426</v>
      </c>
      <c r="R777" s="78">
        <v>499.85030428381225</v>
      </c>
      <c r="S777" s="78">
        <v>15.455466230928289</v>
      </c>
      <c r="T777" s="78">
        <v>593.6351780161948</v>
      </c>
      <c r="U777" s="78">
        <v>6.263984955686297E-2</v>
      </c>
      <c r="V777" s="78">
        <v>93.78487373238255</v>
      </c>
      <c r="Y777" s="28"/>
      <c r="Z777" s="28"/>
      <c r="AK777" s="28"/>
      <c r="AS777" s="28"/>
      <c r="AT777" s="28"/>
    </row>
    <row r="778" spans="3:46" x14ac:dyDescent="0.15">
      <c r="C778" s="11">
        <v>3.591001033782959E-2</v>
      </c>
      <c r="D778" s="11">
        <v>2.2551119327545166E-3</v>
      </c>
      <c r="E778" s="11">
        <v>0.50377042066405253</v>
      </c>
      <c r="F778" s="11">
        <v>0</v>
      </c>
      <c r="G778" s="11">
        <v>3.0259191989898682E-2</v>
      </c>
      <c r="H778" s="40">
        <v>6.50003946917587E-4</v>
      </c>
      <c r="I778" s="40">
        <v>1.3555817055016575</v>
      </c>
      <c r="J778" s="59">
        <v>0</v>
      </c>
      <c r="K778" s="59">
        <v>7026.2793451547623</v>
      </c>
      <c r="L778" s="59">
        <v>0</v>
      </c>
      <c r="M778" s="11">
        <v>0.8853185772895813</v>
      </c>
      <c r="N778" s="11">
        <v>0.69072329998016357</v>
      </c>
      <c r="O778" s="11">
        <v>0.33095431327819824</v>
      </c>
      <c r="Q778" s="59">
        <v>14.990088318199891</v>
      </c>
      <c r="R778" s="78">
        <v>551.57538442687598</v>
      </c>
      <c r="S778" s="78">
        <v>15.032417500680353</v>
      </c>
      <c r="T778" s="78">
        <v>659.15174079724363</v>
      </c>
      <c r="U778" s="78">
        <v>4.2329182480461469E-2</v>
      </c>
      <c r="V778" s="78">
        <v>107.57635637036765</v>
      </c>
      <c r="Y778" s="28"/>
      <c r="Z778" s="28"/>
      <c r="AK778" s="28"/>
      <c r="AS778" s="28"/>
      <c r="AT778" s="28"/>
    </row>
    <row r="779" spans="3:46" x14ac:dyDescent="0.15">
      <c r="C779" s="11">
        <v>3.0884981155395508E-2</v>
      </c>
      <c r="D779" s="11">
        <v>9.5540434122085571E-3</v>
      </c>
      <c r="E779" s="11">
        <v>0.620018905472564</v>
      </c>
      <c r="F779" s="11">
        <v>0</v>
      </c>
      <c r="G779" s="11">
        <v>2.8919726610183716E-2</v>
      </c>
      <c r="H779" s="40">
        <v>5.3364901302430296E-4</v>
      </c>
      <c r="I779" s="40">
        <v>1.4102639788961759</v>
      </c>
      <c r="J779" s="59">
        <v>0</v>
      </c>
      <c r="K779" s="59">
        <v>3699.958324432373</v>
      </c>
      <c r="L779" s="59">
        <v>0</v>
      </c>
      <c r="M779" s="11">
        <v>0.90135550498962402</v>
      </c>
      <c r="N779" s="11">
        <v>0.73075598478317261</v>
      </c>
      <c r="O779" s="11">
        <v>0.30491384863853455</v>
      </c>
      <c r="Q779" s="59">
        <v>15.349184239844286</v>
      </c>
      <c r="R779" s="78">
        <v>473.68572767505435</v>
      </c>
      <c r="S779" s="78">
        <v>15.379265520186205</v>
      </c>
      <c r="T779" s="78">
        <v>628.7710304449206</v>
      </c>
      <c r="U779" s="78">
        <v>3.0081280341919481E-2</v>
      </c>
      <c r="V779" s="78">
        <v>155.08530276986625</v>
      </c>
      <c r="Y779" s="28"/>
      <c r="Z779" s="28"/>
      <c r="AK779" s="28"/>
      <c r="AS779" s="28"/>
      <c r="AT779" s="28"/>
    </row>
    <row r="780" spans="3:46" x14ac:dyDescent="0.15">
      <c r="C780" s="11">
        <v>1.4739468693733215E-2</v>
      </c>
      <c r="D780" s="11">
        <v>2.2748470306396484E-2</v>
      </c>
      <c r="E780" s="11">
        <v>0.34527026606682509</v>
      </c>
      <c r="F780" s="11">
        <v>0</v>
      </c>
      <c r="G780" s="11">
        <v>2.0445466041564941E-2</v>
      </c>
      <c r="H780" s="40">
        <v>5.0649988152943917E-4</v>
      </c>
      <c r="I780" s="40">
        <v>1.379399962541894</v>
      </c>
      <c r="J780" s="59">
        <v>0</v>
      </c>
      <c r="K780" s="59">
        <v>3704.6708166599274</v>
      </c>
      <c r="L780" s="59">
        <v>0</v>
      </c>
      <c r="M780" s="11">
        <v>0.86735251545906067</v>
      </c>
      <c r="N780" s="11">
        <v>0.7331739068031311</v>
      </c>
      <c r="O780" s="11">
        <v>0.27095592021942139</v>
      </c>
      <c r="Q780" s="59">
        <v>15.03182107949519</v>
      </c>
      <c r="R780" s="78">
        <v>460.99650023846146</v>
      </c>
      <c r="S780" s="78">
        <v>15.072741316542043</v>
      </c>
      <c r="T780" s="78">
        <v>602.38640514563224</v>
      </c>
      <c r="U780" s="78">
        <v>4.0920237046853103E-2</v>
      </c>
      <c r="V780" s="78">
        <v>141.38990490717077</v>
      </c>
      <c r="Y780" s="28"/>
      <c r="Z780" s="28"/>
      <c r="AK780" s="28"/>
      <c r="AS780" s="28"/>
      <c r="AT780" s="28"/>
    </row>
    <row r="781" spans="3:46" x14ac:dyDescent="0.15">
      <c r="C781" s="11">
        <v>2.6707768440246582E-2</v>
      </c>
      <c r="D781" s="11">
        <v>4.075855016708374E-3</v>
      </c>
      <c r="E781" s="11">
        <v>0.16048397660075736</v>
      </c>
      <c r="F781" s="11">
        <v>0</v>
      </c>
      <c r="G781" s="11">
        <v>2.4628579616546631E-2</v>
      </c>
      <c r="H781" s="40">
        <v>3.0092720947160465E-4</v>
      </c>
      <c r="I781" s="40">
        <v>1.4904790863379698</v>
      </c>
      <c r="J781" s="59">
        <v>0</v>
      </c>
      <c r="K781" s="59">
        <v>5097.0655865967274</v>
      </c>
      <c r="L781" s="59">
        <v>0</v>
      </c>
      <c r="M781" s="11">
        <v>0.82526999711990356</v>
      </c>
      <c r="N781" s="11">
        <v>0.77773040533065796</v>
      </c>
      <c r="O781" s="11">
        <v>0.31036341190338135</v>
      </c>
      <c r="Q781" s="59">
        <v>14.16109682313823</v>
      </c>
      <c r="R781" s="78">
        <v>471.28393248165503</v>
      </c>
      <c r="S781" s="78">
        <v>14.183530495965387</v>
      </c>
      <c r="T781" s="78">
        <v>591.55580413559926</v>
      </c>
      <c r="U781" s="78">
        <v>2.2433672827157025E-2</v>
      </c>
      <c r="V781" s="78">
        <v>120.27187165394423</v>
      </c>
      <c r="Y781" s="28"/>
      <c r="Z781" s="28"/>
      <c r="AK781" s="28"/>
      <c r="AS781" s="28"/>
      <c r="AT781" s="28"/>
    </row>
    <row r="782" spans="3:46" x14ac:dyDescent="0.15">
      <c r="C782" s="11">
        <v>7.45372474193573E-3</v>
      </c>
      <c r="D782" s="11">
        <v>1.7825335264205933E-2</v>
      </c>
      <c r="E782" s="11">
        <v>0.277774968912811</v>
      </c>
      <c r="F782" s="11">
        <v>0</v>
      </c>
      <c r="G782" s="11">
        <v>4.3557703495025635E-2</v>
      </c>
      <c r="H782" s="40">
        <v>5.866563643047981E-4</v>
      </c>
      <c r="I782" s="40">
        <v>1.558481891104248</v>
      </c>
      <c r="J782" s="59">
        <v>0</v>
      </c>
      <c r="K782" s="59">
        <v>4008.6265653371811</v>
      </c>
      <c r="L782" s="59">
        <v>0</v>
      </c>
      <c r="M782" s="11">
        <v>0.841502845287323</v>
      </c>
      <c r="N782" s="11">
        <v>0.69566202163696289</v>
      </c>
      <c r="O782" s="11">
        <v>0.29109090566635132</v>
      </c>
      <c r="Q782" s="59">
        <v>14.623558136084185</v>
      </c>
      <c r="R782" s="78">
        <v>553.33688611920206</v>
      </c>
      <c r="S782" s="78">
        <v>14.716094678331102</v>
      </c>
      <c r="T782" s="78">
        <v>624.39252588698503</v>
      </c>
      <c r="U782" s="78">
        <v>9.2536542246916653E-2</v>
      </c>
      <c r="V782" s="78">
        <v>71.055639767782964</v>
      </c>
      <c r="Y782" s="28"/>
      <c r="Z782" s="28"/>
      <c r="AK782" s="28"/>
      <c r="AS782" s="28"/>
      <c r="AT782" s="28"/>
    </row>
    <row r="783" spans="3:46" x14ac:dyDescent="0.15">
      <c r="C783" s="11">
        <v>2.6037901639938354E-2</v>
      </c>
      <c r="D783" s="11">
        <v>6.6440999507904053E-3</v>
      </c>
      <c r="E783" s="11">
        <v>0.30798151488987957</v>
      </c>
      <c r="F783" s="11">
        <v>0</v>
      </c>
      <c r="G783" s="11">
        <v>3.5343170166015625E-3</v>
      </c>
      <c r="H783" s="40">
        <v>4.3457337125953099E-4</v>
      </c>
      <c r="I783" s="40">
        <v>1.3675582608191068</v>
      </c>
      <c r="J783" s="59">
        <v>0</v>
      </c>
      <c r="K783" s="59">
        <v>5650.8625857532024</v>
      </c>
      <c r="L783" s="59">
        <v>0</v>
      </c>
      <c r="M783" s="11">
        <v>0.84334519505500793</v>
      </c>
      <c r="N783" s="11">
        <v>0.81655573844909668</v>
      </c>
      <c r="O783" s="11">
        <v>0.31273734569549561</v>
      </c>
      <c r="Q783" s="59">
        <v>14.488163377673304</v>
      </c>
      <c r="R783" s="78">
        <v>469.40804116346561</v>
      </c>
      <c r="S783" s="78">
        <v>14.502243924449498</v>
      </c>
      <c r="T783" s="78">
        <v>602.45195167285817</v>
      </c>
      <c r="U783" s="78">
        <v>1.408054677619397E-2</v>
      </c>
      <c r="V783" s="78">
        <v>133.04391050939256</v>
      </c>
      <c r="Y783" s="28"/>
      <c r="Z783" s="28"/>
      <c r="AK783" s="28"/>
      <c r="AS783" s="28"/>
      <c r="AT783" s="28"/>
    </row>
    <row r="784" spans="3:46" x14ac:dyDescent="0.15">
      <c r="C784" s="11">
        <v>1.481512188911438E-2</v>
      </c>
      <c r="D784" s="11">
        <v>2.0614251494407654E-2</v>
      </c>
      <c r="E784" s="11">
        <v>0.18876710657479773</v>
      </c>
      <c r="F784" s="11">
        <v>0</v>
      </c>
      <c r="G784" s="11">
        <v>5.5594742298126221E-2</v>
      </c>
      <c r="H784" s="40">
        <v>4.5211861606900977E-4</v>
      </c>
      <c r="I784" s="40">
        <v>1.4477989445143191</v>
      </c>
      <c r="J784" s="59">
        <v>0</v>
      </c>
      <c r="K784" s="59">
        <v>5911.6119518876076</v>
      </c>
      <c r="L784" s="59">
        <v>0</v>
      </c>
      <c r="M784" s="11">
        <v>0.91263771057128906</v>
      </c>
      <c r="N784" s="11">
        <v>0.71005326509475708</v>
      </c>
      <c r="O784" s="11">
        <v>0.28397607803344727</v>
      </c>
      <c r="Q784" s="59">
        <v>15.786586215910804</v>
      </c>
      <c r="R784" s="78">
        <v>533.71402841825329</v>
      </c>
      <c r="S784" s="78">
        <v>15.863374253960277</v>
      </c>
      <c r="T784" s="78">
        <v>605.76791923089195</v>
      </c>
      <c r="U784" s="78">
        <v>7.6788038049473428E-2</v>
      </c>
      <c r="V784" s="78">
        <v>72.053890812638656</v>
      </c>
      <c r="Y784" s="28"/>
      <c r="Z784" s="28"/>
      <c r="AK784" s="28"/>
      <c r="AS784" s="28"/>
      <c r="AT784" s="28"/>
    </row>
    <row r="785" spans="3:46" x14ac:dyDescent="0.15">
      <c r="C785" s="11">
        <v>2.2071033716201782E-2</v>
      </c>
      <c r="D785" s="11">
        <v>1.8766015768051147E-2</v>
      </c>
      <c r="E785" s="11">
        <v>0.23348191283589831</v>
      </c>
      <c r="F785" s="11">
        <v>0</v>
      </c>
      <c r="G785" s="11">
        <v>0.11717605590820312</v>
      </c>
      <c r="H785" s="40">
        <v>5.3060073679008987E-4</v>
      </c>
      <c r="I785" s="40">
        <v>1.4154902471377764</v>
      </c>
      <c r="J785" s="59">
        <v>0</v>
      </c>
      <c r="K785" s="59">
        <v>3761.6514600813389</v>
      </c>
      <c r="L785" s="59">
        <v>0</v>
      </c>
      <c r="M785" s="11">
        <v>0.83255898952484131</v>
      </c>
      <c r="N785" s="11">
        <v>0.72951889038085938</v>
      </c>
      <c r="O785" s="11">
        <v>0.33896744251251221</v>
      </c>
      <c r="Q785" s="59">
        <v>14.310796163302822</v>
      </c>
      <c r="R785" s="78">
        <v>513.31601995061885</v>
      </c>
      <c r="S785" s="78">
        <v>14.364631186646081</v>
      </c>
      <c r="T785" s="78">
        <v>607.25541564776415</v>
      </c>
      <c r="U785" s="78">
        <v>5.3835023343259181E-2</v>
      </c>
      <c r="V785" s="78">
        <v>93.939395697145301</v>
      </c>
      <c r="Y785" s="28"/>
      <c r="Z785" s="28"/>
      <c r="AK785" s="28"/>
      <c r="AS785" s="28"/>
      <c r="AT785" s="28"/>
    </row>
    <row r="786" spans="3:46" x14ac:dyDescent="0.15">
      <c r="C786" s="11">
        <v>1.8745720386505127E-2</v>
      </c>
      <c r="D786" s="11">
        <v>4.831242561340332E-2</v>
      </c>
      <c r="E786" s="11">
        <v>0.19728180786323507</v>
      </c>
      <c r="F786" s="11">
        <v>0</v>
      </c>
      <c r="G786" s="11">
        <v>2.9201582074165344E-2</v>
      </c>
      <c r="H786" s="40">
        <v>3.154864356445742E-4</v>
      </c>
      <c r="I786" s="40">
        <v>1.494604160466914</v>
      </c>
      <c r="J786" s="59">
        <v>0</v>
      </c>
      <c r="K786" s="59">
        <v>4178.2017797231674</v>
      </c>
      <c r="L786" s="59">
        <v>0</v>
      </c>
      <c r="M786" s="11">
        <v>0.81072044372558594</v>
      </c>
      <c r="N786" s="11">
        <v>0.81304562091827393</v>
      </c>
      <c r="O786" s="11">
        <v>0.33331632614135742</v>
      </c>
      <c r="Q786" s="59">
        <v>14.024845824513108</v>
      </c>
      <c r="R786" s="78">
        <v>462.8732893218102</v>
      </c>
      <c r="S786" s="78">
        <v>14.046385896852405</v>
      </c>
      <c r="T786" s="78">
        <v>592.75717872157554</v>
      </c>
      <c r="U786" s="78">
        <v>2.1540072339297112E-2</v>
      </c>
      <c r="V786" s="78">
        <v>129.88388939976534</v>
      </c>
      <c r="Y786" s="28"/>
      <c r="Z786" s="28"/>
      <c r="AK786" s="28"/>
      <c r="AS786" s="28"/>
      <c r="AT786" s="28"/>
    </row>
    <row r="787" spans="3:46" x14ac:dyDescent="0.15">
      <c r="C787" s="11">
        <v>7.5063109397888184E-3</v>
      </c>
      <c r="D787" s="11">
        <v>8.9008063077926636E-3</v>
      </c>
      <c r="E787" s="11">
        <v>0.27879173012466246</v>
      </c>
      <c r="F787" s="11">
        <v>0</v>
      </c>
      <c r="G787" s="11">
        <v>4.1513949632644653E-2</v>
      </c>
      <c r="H787" s="40">
        <v>4.1408790685947515E-4</v>
      </c>
      <c r="I787" s="40">
        <v>1.4198367102079361</v>
      </c>
      <c r="J787" s="59">
        <v>0</v>
      </c>
      <c r="K787" s="59">
        <v>7740.2498573064804</v>
      </c>
      <c r="L787" s="59">
        <v>0</v>
      </c>
      <c r="M787" s="11">
        <v>0.81954741477966309</v>
      </c>
      <c r="N787" s="11">
        <v>0.74503421783447266</v>
      </c>
      <c r="O787" s="11">
        <v>0.2981494665145874</v>
      </c>
      <c r="Q787" s="59">
        <v>14.327092555519684</v>
      </c>
      <c r="R787" s="78">
        <v>540.32279980186706</v>
      </c>
      <c r="S787" s="78">
        <v>14.35606936036087</v>
      </c>
      <c r="T787" s="78">
        <v>620.24905579097174</v>
      </c>
      <c r="U787" s="78">
        <v>2.897680484118581E-2</v>
      </c>
      <c r="V787" s="78">
        <v>79.926255989104675</v>
      </c>
      <c r="Y787" s="28"/>
      <c r="Z787" s="28"/>
      <c r="AK787" s="28"/>
      <c r="AS787" s="28"/>
      <c r="AT787" s="28"/>
    </row>
    <row r="788" spans="3:46" x14ac:dyDescent="0.15">
      <c r="C788" s="11">
        <v>1.2311786413192749E-2</v>
      </c>
      <c r="D788" s="11">
        <v>2.5104612112045288E-2</v>
      </c>
      <c r="E788" s="11">
        <v>0.40349746774737089</v>
      </c>
      <c r="F788" s="11">
        <v>0</v>
      </c>
      <c r="G788" s="11">
        <v>4.2799711227416992E-2</v>
      </c>
      <c r="H788" s="40">
        <v>4.441189753381661E-4</v>
      </c>
      <c r="I788" s="40">
        <v>1.4843771104434185</v>
      </c>
      <c r="J788" s="59">
        <v>0</v>
      </c>
      <c r="K788" s="59">
        <v>8148.04807305336</v>
      </c>
      <c r="L788" s="59">
        <v>0</v>
      </c>
      <c r="M788" s="11">
        <v>0.851246178150177</v>
      </c>
      <c r="N788" s="11">
        <v>0.71482634544372559</v>
      </c>
      <c r="O788" s="11">
        <v>0.27261394262313843</v>
      </c>
      <c r="Q788" s="59">
        <v>14.770942299577037</v>
      </c>
      <c r="R788" s="78">
        <v>591.9553723484637</v>
      </c>
      <c r="S788" s="78">
        <v>14.818197002559495</v>
      </c>
      <c r="T788" s="78">
        <v>659.86202314555032</v>
      </c>
      <c r="U788" s="78">
        <v>4.7254702982458596E-2</v>
      </c>
      <c r="V788" s="78">
        <v>67.906650797086627</v>
      </c>
      <c r="Y788" s="28"/>
      <c r="Z788" s="28"/>
      <c r="AK788" s="28"/>
      <c r="AS788" s="28"/>
      <c r="AT788" s="28"/>
    </row>
    <row r="789" spans="3:46" x14ac:dyDescent="0.15">
      <c r="C789" s="11">
        <v>5.0810575485229492E-3</v>
      </c>
      <c r="D789" s="11">
        <v>9.6774250268936157E-3</v>
      </c>
      <c r="E789" s="11">
        <v>0.22803083658583106</v>
      </c>
      <c r="F789" s="11">
        <v>0</v>
      </c>
      <c r="G789" s="11">
        <v>6.5871179103851318E-2</v>
      </c>
      <c r="H789" s="40">
        <v>5.2351744350914655E-4</v>
      </c>
      <c r="I789" s="40">
        <v>1.5031462610000828</v>
      </c>
      <c r="J789" s="59">
        <v>0</v>
      </c>
      <c r="K789" s="59">
        <v>5365.3516806662083</v>
      </c>
      <c r="L789" s="59">
        <v>0</v>
      </c>
      <c r="M789" s="11">
        <v>0.87046277523040771</v>
      </c>
      <c r="N789" s="11">
        <v>0.71820521354675293</v>
      </c>
      <c r="O789" s="11">
        <v>0.28598368167877197</v>
      </c>
      <c r="Q789" s="59">
        <v>15.192671689567945</v>
      </c>
      <c r="R789" s="78">
        <v>575.88593237760313</v>
      </c>
      <c r="S789" s="78">
        <v>15.272936052301398</v>
      </c>
      <c r="T789" s="78">
        <v>621.29631424808974</v>
      </c>
      <c r="U789" s="78">
        <v>8.0264362733453609E-2</v>
      </c>
      <c r="V789" s="78">
        <v>45.410381870486617</v>
      </c>
      <c r="Y789" s="28"/>
      <c r="Z789" s="28"/>
      <c r="AK789" s="28"/>
      <c r="AS789" s="28"/>
      <c r="AT789" s="28"/>
    </row>
    <row r="790" spans="3:46" x14ac:dyDescent="0.15">
      <c r="C790" s="11">
        <v>5.3206980228424072E-3</v>
      </c>
      <c r="D790" s="11">
        <v>5.4787158966064453E-2</v>
      </c>
      <c r="E790" s="11">
        <v>0.17356486955407335</v>
      </c>
      <c r="F790" s="11">
        <v>0</v>
      </c>
      <c r="G790" s="11">
        <v>1.9422292709350586E-2</v>
      </c>
      <c r="H790" s="40">
        <v>4.6886866780293784E-4</v>
      </c>
      <c r="I790" s="40">
        <v>1.3777013117182684</v>
      </c>
      <c r="J790" s="59">
        <v>0</v>
      </c>
      <c r="K790" s="59">
        <v>4042.2473102807999</v>
      </c>
      <c r="L790" s="59">
        <v>0</v>
      </c>
      <c r="M790" s="11">
        <v>0.87063157558441162</v>
      </c>
      <c r="N790" s="11">
        <v>0.70099759101867676</v>
      </c>
      <c r="O790" s="11">
        <v>0.34720396995544434</v>
      </c>
      <c r="Q790" s="59">
        <v>15.224810043299042</v>
      </c>
      <c r="R790" s="78">
        <v>461.35281422408292</v>
      </c>
      <c r="S790" s="78">
        <v>15.284000889912864</v>
      </c>
      <c r="T790" s="78">
        <v>590.8402098980547</v>
      </c>
      <c r="U790" s="78">
        <v>5.919084661382179E-2</v>
      </c>
      <c r="V790" s="78">
        <v>129.48739567397178</v>
      </c>
      <c r="Y790" s="28"/>
      <c r="Z790" s="28"/>
      <c r="AK790" s="28"/>
      <c r="AS790" s="28"/>
      <c r="AT790" s="28"/>
    </row>
    <row r="791" spans="3:46" x14ac:dyDescent="0.15">
      <c r="C791" s="11">
        <v>6.9976150989532471E-3</v>
      </c>
      <c r="D791" s="11">
        <v>4.8091888427734375E-2</v>
      </c>
      <c r="E791" s="11">
        <v>0.1053002894759282</v>
      </c>
      <c r="F791" s="11">
        <v>0</v>
      </c>
      <c r="G791" s="11">
        <v>6.833040714263916E-2</v>
      </c>
      <c r="H791" s="40">
        <v>4.9053875118770611E-4</v>
      </c>
      <c r="I791" s="40">
        <v>1.3033390797379978</v>
      </c>
      <c r="J791" s="59">
        <v>0</v>
      </c>
      <c r="K791" s="59">
        <v>4563.7763105332851</v>
      </c>
      <c r="L791" s="59">
        <v>0</v>
      </c>
      <c r="M791" s="11">
        <v>0.79657626152038574</v>
      </c>
      <c r="N791" s="11">
        <v>0.78391671180725098</v>
      </c>
      <c r="O791" s="11">
        <v>0.23131513595581055</v>
      </c>
      <c r="Q791" s="59">
        <v>13.937010123115973</v>
      </c>
      <c r="R791" s="78">
        <v>475.41211105469642</v>
      </c>
      <c r="S791" s="78">
        <v>13.968203638157521</v>
      </c>
      <c r="T791" s="78">
        <v>587.66503447795003</v>
      </c>
      <c r="U791" s="78">
        <v>3.1193515041547215E-2</v>
      </c>
      <c r="V791" s="78">
        <v>112.25292342325361</v>
      </c>
      <c r="Y791" s="28"/>
      <c r="Z791" s="28"/>
      <c r="AK791" s="28"/>
      <c r="AS791" s="28"/>
      <c r="AT791" s="28"/>
    </row>
    <row r="792" spans="3:46" x14ac:dyDescent="0.15">
      <c r="C792" s="11">
        <v>2.8237521648406982E-2</v>
      </c>
      <c r="D792" s="11">
        <v>2.2438749670982361E-2</v>
      </c>
      <c r="E792" s="11">
        <v>0.21594903165012586</v>
      </c>
      <c r="F792" s="11">
        <v>0</v>
      </c>
      <c r="G792" s="11">
        <v>5.4870307445526123E-2</v>
      </c>
      <c r="H792" s="40">
        <v>3.6787792349755828E-4</v>
      </c>
      <c r="I792" s="40">
        <v>1.4693162062311198</v>
      </c>
      <c r="J792" s="59">
        <v>0</v>
      </c>
      <c r="K792" s="59">
        <v>8106.4458936452866</v>
      </c>
      <c r="L792" s="59">
        <v>0</v>
      </c>
      <c r="M792" s="11">
        <v>0.84257841110229492</v>
      </c>
      <c r="N792" s="11">
        <v>0.76364654302597046</v>
      </c>
      <c r="O792" s="11">
        <v>0.27953290939331055</v>
      </c>
      <c r="Q792" s="59">
        <v>14.41373837888003</v>
      </c>
      <c r="R792" s="78">
        <v>557.46379017356082</v>
      </c>
      <c r="S792" s="78">
        <v>14.451961050112031</v>
      </c>
      <c r="T792" s="78">
        <v>614.7478177707917</v>
      </c>
      <c r="U792" s="78">
        <v>3.8222671232000849E-2</v>
      </c>
      <c r="V792" s="78">
        <v>57.284027597230875</v>
      </c>
      <c r="Y792" s="28"/>
      <c r="Z792" s="28"/>
      <c r="AK792" s="28"/>
      <c r="AS792" s="28"/>
      <c r="AT792" s="28"/>
    </row>
    <row r="793" spans="3:46" x14ac:dyDescent="0.15">
      <c r="C793" s="11">
        <v>5.8900266885757446E-3</v>
      </c>
      <c r="D793" s="11">
        <v>3.9185285568237305E-3</v>
      </c>
      <c r="E793" s="11">
        <v>0.26361079124648756</v>
      </c>
      <c r="F793" s="11">
        <v>0</v>
      </c>
      <c r="G793" s="11">
        <v>2.2405773401260376E-2</v>
      </c>
      <c r="H793" s="40">
        <v>4.4671292550574619E-4</v>
      </c>
      <c r="I793" s="40">
        <v>1.4319865536135634</v>
      </c>
      <c r="J793" s="59">
        <v>0</v>
      </c>
      <c r="K793" s="59">
        <v>3763.4279578924179</v>
      </c>
      <c r="L793" s="59">
        <v>0</v>
      </c>
      <c r="M793" s="11">
        <v>0.87182414531707764</v>
      </c>
      <c r="N793" s="11">
        <v>0.77025693655014038</v>
      </c>
      <c r="O793" s="11">
        <v>0.26865535974502563</v>
      </c>
      <c r="Q793" s="59">
        <v>15.256739986596889</v>
      </c>
      <c r="R793" s="78">
        <v>465.66610597238514</v>
      </c>
      <c r="S793" s="78">
        <v>15.294889409717117</v>
      </c>
      <c r="T793" s="78">
        <v>598.13927478919516</v>
      </c>
      <c r="U793" s="78">
        <v>3.814942312022751E-2</v>
      </c>
      <c r="V793" s="78">
        <v>132.47316881681002</v>
      </c>
      <c r="Y793" s="28"/>
      <c r="Z793" s="28"/>
      <c r="AK793" s="28"/>
      <c r="AS793" s="28"/>
      <c r="AT793" s="28"/>
    </row>
    <row r="794" spans="3:46" x14ac:dyDescent="0.15">
      <c r="C794" s="11">
        <v>3.7585437297821045E-2</v>
      </c>
      <c r="D794" s="11">
        <v>2.5597035884857178E-2</v>
      </c>
      <c r="E794" s="11">
        <v>0.20235248970049965</v>
      </c>
      <c r="F794" s="11">
        <v>0</v>
      </c>
      <c r="G794" s="11">
        <v>1.1061429977416992E-2</v>
      </c>
      <c r="H794" s="40">
        <v>4.7396252948792044E-4</v>
      </c>
      <c r="I794" s="40">
        <v>1.3679287953548058</v>
      </c>
      <c r="J794" s="59">
        <v>0</v>
      </c>
      <c r="K794" s="59">
        <v>6967.0937955379486</v>
      </c>
      <c r="L794" s="59">
        <v>0</v>
      </c>
      <c r="M794" s="11">
        <v>0.86546403169631958</v>
      </c>
      <c r="N794" s="11">
        <v>0.74239367246627808</v>
      </c>
      <c r="O794" s="11">
        <v>0.27733677625656128</v>
      </c>
      <c r="Q794" s="59">
        <v>14.660565461390066</v>
      </c>
      <c r="R794" s="78">
        <v>499.23436013747903</v>
      </c>
      <c r="S794" s="78">
        <v>14.701938868687828</v>
      </c>
      <c r="T794" s="78">
        <v>600.55475795642087</v>
      </c>
      <c r="U794" s="78">
        <v>4.1373407297761844E-2</v>
      </c>
      <c r="V794" s="78">
        <v>101.32039781894184</v>
      </c>
      <c r="Y794" s="28"/>
      <c r="Z794" s="28"/>
      <c r="AK794" s="28"/>
      <c r="AS794" s="28"/>
      <c r="AT794" s="28"/>
    </row>
    <row r="795" spans="3:46" x14ac:dyDescent="0.15">
      <c r="C795" s="11">
        <v>3.0706316232681274E-2</v>
      </c>
      <c r="D795" s="11">
        <v>4.1484236717224121E-3</v>
      </c>
      <c r="E795" s="11">
        <v>0.23855164687152738</v>
      </c>
      <c r="F795" s="11">
        <v>0</v>
      </c>
      <c r="G795" s="11">
        <v>3.5301834344863892E-2</v>
      </c>
      <c r="H795" s="40">
        <v>4.4145198206226835E-4</v>
      </c>
      <c r="I795" s="40">
        <v>1.3632510032673528</v>
      </c>
      <c r="J795" s="59">
        <v>0</v>
      </c>
      <c r="K795" s="59">
        <v>7336.5075513720512</v>
      </c>
      <c r="L795" s="59">
        <v>0</v>
      </c>
      <c r="M795" s="11">
        <v>0.81313848495483398</v>
      </c>
      <c r="N795" s="11">
        <v>0.71104878187179565</v>
      </c>
      <c r="O795" s="11">
        <v>0.28781396150588989</v>
      </c>
      <c r="Q795" s="59">
        <v>13.881900696890259</v>
      </c>
      <c r="R795" s="78">
        <v>512.7916365284533</v>
      </c>
      <c r="S795" s="78">
        <v>13.912244929172566</v>
      </c>
      <c r="T795" s="78">
        <v>607.63227186097072</v>
      </c>
      <c r="U795" s="78">
        <v>3.0344232282306649E-2</v>
      </c>
      <c r="V795" s="78">
        <v>94.840635332517422</v>
      </c>
      <c r="Y795" s="28"/>
      <c r="Z795" s="28"/>
      <c r="AK795" s="28"/>
      <c r="AS795" s="28"/>
      <c r="AT795" s="28"/>
    </row>
    <row r="796" spans="3:46" x14ac:dyDescent="0.15">
      <c r="C796" s="11">
        <v>3.7297666072845459E-2</v>
      </c>
      <c r="D796" s="11">
        <v>4.3520867824554443E-2</v>
      </c>
      <c r="E796" s="11">
        <v>0.22581846862343305</v>
      </c>
      <c r="F796" s="11">
        <v>0</v>
      </c>
      <c r="G796" s="11">
        <v>2.624782919883728E-2</v>
      </c>
      <c r="H796" s="40">
        <v>3.3863800591596454E-4</v>
      </c>
      <c r="I796" s="40">
        <v>1.6195761846694805</v>
      </c>
      <c r="J796" s="59">
        <v>0</v>
      </c>
      <c r="K796" s="59">
        <v>3943.245392292738</v>
      </c>
      <c r="L796" s="59">
        <v>0</v>
      </c>
      <c r="M796" s="11">
        <v>0.84657147526741028</v>
      </c>
      <c r="N796" s="11">
        <v>0.72822010517120361</v>
      </c>
      <c r="O796" s="11">
        <v>0.33633220195770264</v>
      </c>
      <c r="Q796" s="59">
        <v>14.313527154187399</v>
      </c>
      <c r="R796" s="78">
        <v>490.58936367146339</v>
      </c>
      <c r="S796" s="78">
        <v>14.376757151893566</v>
      </c>
      <c r="T796" s="78">
        <v>601.25003951285862</v>
      </c>
      <c r="U796" s="78">
        <v>6.322999770616633E-2</v>
      </c>
      <c r="V796" s="78">
        <v>110.66067584139523</v>
      </c>
      <c r="Y796" s="28"/>
      <c r="Z796" s="28"/>
      <c r="AK796" s="28"/>
      <c r="AS796" s="28"/>
      <c r="AT796" s="28"/>
    </row>
    <row r="797" spans="3:46" x14ac:dyDescent="0.15">
      <c r="C797" s="11">
        <v>3.9030909538269043E-2</v>
      </c>
      <c r="D797" s="11">
        <v>2.9795259237289429E-2</v>
      </c>
      <c r="E797" s="11">
        <v>0.14663049783460466</v>
      </c>
      <c r="F797" s="11">
        <v>0</v>
      </c>
      <c r="G797" s="11">
        <v>5.5792391300201416E-2</v>
      </c>
      <c r="H797" s="40">
        <v>6.2412400395794583E-4</v>
      </c>
      <c r="I797" s="40">
        <v>1.3853909713157349</v>
      </c>
      <c r="J797" s="59">
        <v>0</v>
      </c>
      <c r="K797" s="59">
        <v>5190.905649214983</v>
      </c>
      <c r="L797" s="59">
        <v>0</v>
      </c>
      <c r="M797" s="11">
        <v>0.87749427556991577</v>
      </c>
      <c r="N797" s="11">
        <v>0.73337364196777344</v>
      </c>
      <c r="O797" s="11">
        <v>0.30894419550895691</v>
      </c>
      <c r="Q797" s="59">
        <v>14.807566323517996</v>
      </c>
      <c r="R797" s="78">
        <v>531.05574995468123</v>
      </c>
      <c r="S797" s="78">
        <v>14.881685727678731</v>
      </c>
      <c r="T797" s="78">
        <v>599.4480706480781</v>
      </c>
      <c r="U797" s="78">
        <v>7.4119404160734703E-2</v>
      </c>
      <c r="V797" s="78">
        <v>68.392320693396869</v>
      </c>
      <c r="Y797" s="28"/>
      <c r="Z797" s="28"/>
      <c r="AK797" s="28"/>
      <c r="AS797" s="28"/>
      <c r="AT797" s="28"/>
    </row>
    <row r="798" spans="3:46" x14ac:dyDescent="0.15">
      <c r="C798" s="11">
        <v>1.8714070320129395E-2</v>
      </c>
      <c r="D798" s="11">
        <v>4.6654343605041504E-2</v>
      </c>
      <c r="E798" s="11">
        <v>0.19344424563578405</v>
      </c>
      <c r="F798" s="11">
        <v>0</v>
      </c>
      <c r="G798" s="11">
        <v>1.4806568622589111E-2</v>
      </c>
      <c r="H798" s="40">
        <v>4.7371020317561453E-4</v>
      </c>
      <c r="I798" s="40">
        <v>1.4329795322809615</v>
      </c>
      <c r="J798" s="59">
        <v>0</v>
      </c>
      <c r="K798" s="59">
        <v>6920.5230101943016</v>
      </c>
      <c r="L798" s="59">
        <v>0</v>
      </c>
      <c r="M798" s="11">
        <v>0.84196633100509644</v>
      </c>
      <c r="N798" s="11">
        <v>0.73920124769210815</v>
      </c>
      <c r="O798" s="11">
        <v>0.33010613918304443</v>
      </c>
      <c r="Q798" s="59">
        <v>14.53232258076418</v>
      </c>
      <c r="R798" s="78">
        <v>525.34318853394461</v>
      </c>
      <c r="S798" s="78">
        <v>14.58171731091867</v>
      </c>
      <c r="T798" s="78">
        <v>604.79973146391899</v>
      </c>
      <c r="U798" s="78">
        <v>4.9394730154489253E-2</v>
      </c>
      <c r="V798" s="78">
        <v>79.456542929974376</v>
      </c>
      <c r="Y798" s="28"/>
      <c r="Z798" s="28"/>
      <c r="AK798" s="28"/>
      <c r="AS798" s="28"/>
      <c r="AT798" s="28"/>
    </row>
    <row r="799" spans="3:46" x14ac:dyDescent="0.15">
      <c r="C799" s="11">
        <v>6.7874342203140259E-3</v>
      </c>
      <c r="D799" s="11">
        <v>1.5487790107727051E-2</v>
      </c>
      <c r="E799" s="11">
        <v>0.29739760212749711</v>
      </c>
      <c r="F799" s="11">
        <v>0</v>
      </c>
      <c r="G799" s="11">
        <v>8.9787006378173828E-2</v>
      </c>
      <c r="H799" s="40">
        <v>3.953812939273892E-4</v>
      </c>
      <c r="I799" s="40">
        <v>1.4303323978552753</v>
      </c>
      <c r="J799" s="59">
        <v>0</v>
      </c>
      <c r="K799" s="59">
        <v>5193.646065890789</v>
      </c>
      <c r="L799" s="59">
        <v>0</v>
      </c>
      <c r="M799" s="11">
        <v>0.85774490237236023</v>
      </c>
      <c r="N799" s="11">
        <v>0.76758676767349243</v>
      </c>
      <c r="O799" s="11">
        <v>0.29487615823745728</v>
      </c>
      <c r="Q799" s="59">
        <v>14.995087243457261</v>
      </c>
      <c r="R799" s="78">
        <v>513.08668250286075</v>
      </c>
      <c r="S799" s="78">
        <v>15.03207378041752</v>
      </c>
      <c r="T799" s="78">
        <v>614.78431424309667</v>
      </c>
      <c r="U799" s="78">
        <v>3.6986536960258221E-2</v>
      </c>
      <c r="V799" s="78">
        <v>101.69763174023592</v>
      </c>
      <c r="Y799" s="28"/>
      <c r="Z799" s="28"/>
      <c r="AK799" s="28"/>
      <c r="AS799" s="28"/>
      <c r="AT799" s="28"/>
    </row>
    <row r="800" spans="3:46" x14ac:dyDescent="0.15">
      <c r="C800" s="11">
        <v>1.2518107891082764E-2</v>
      </c>
      <c r="D800" s="11">
        <v>2.9036045074462891E-2</v>
      </c>
      <c r="E800" s="11">
        <v>0.21049647132508817</v>
      </c>
      <c r="F800" s="11">
        <v>0</v>
      </c>
      <c r="G800" s="11">
        <v>5.0962239503860474E-2</v>
      </c>
      <c r="H800" s="40">
        <v>4.1063456678759564E-4</v>
      </c>
      <c r="I800" s="40">
        <v>1.4851415335394311</v>
      </c>
      <c r="J800" s="59">
        <v>0</v>
      </c>
      <c r="K800" s="59">
        <v>5081.8454474210739</v>
      </c>
      <c r="L800" s="59">
        <v>0</v>
      </c>
      <c r="M800" s="11">
        <v>0.89940023422241211</v>
      </c>
      <c r="N800" s="11">
        <v>0.80537962913513184</v>
      </c>
      <c r="O800" s="11">
        <v>0.32937383651733398</v>
      </c>
      <c r="Q800" s="59">
        <v>15.622890059572214</v>
      </c>
      <c r="R800" s="78">
        <v>512.95992701868113</v>
      </c>
      <c r="S800" s="78">
        <v>15.67385941287767</v>
      </c>
      <c r="T800" s="78">
        <v>604.41941689662997</v>
      </c>
      <c r="U800" s="78">
        <v>5.0969353305456266E-2</v>
      </c>
      <c r="V800" s="78">
        <v>91.45948987794884</v>
      </c>
      <c r="Y800" s="28"/>
      <c r="Z800" s="28"/>
      <c r="AK800" s="28"/>
      <c r="AS800" s="28"/>
      <c r="AT800" s="28"/>
    </row>
    <row r="801" spans="3:46" x14ac:dyDescent="0.15">
      <c r="C801" s="11">
        <v>2.4645000696182251E-2</v>
      </c>
      <c r="D801" s="11">
        <v>5.2142620086669922E-2</v>
      </c>
      <c r="E801" s="11">
        <v>0.22768439432951315</v>
      </c>
      <c r="F801" s="11">
        <v>0</v>
      </c>
      <c r="G801" s="11">
        <v>3.7051528692245483E-2</v>
      </c>
      <c r="H801" s="40">
        <v>3.9272100050454482E-4</v>
      </c>
      <c r="I801" s="40">
        <v>1.5409783597981306</v>
      </c>
      <c r="J801" s="59">
        <v>0</v>
      </c>
      <c r="K801" s="59">
        <v>5365.9360855817795</v>
      </c>
      <c r="L801" s="59">
        <v>0</v>
      </c>
      <c r="M801" s="11">
        <v>0.8612285852432251</v>
      </c>
      <c r="N801" s="11">
        <v>0.73577338457107544</v>
      </c>
      <c r="O801" s="11">
        <v>0.31680333614349365</v>
      </c>
      <c r="Q801" s="59">
        <v>14.752105134485138</v>
      </c>
      <c r="R801" s="78">
        <v>523.54358658980561</v>
      </c>
      <c r="S801" s="78">
        <v>14.817646089462851</v>
      </c>
      <c r="T801" s="78">
        <v>609.00947855533548</v>
      </c>
      <c r="U801" s="78">
        <v>6.5540954977713284E-2</v>
      </c>
      <c r="V801" s="78">
        <v>85.465891965529863</v>
      </c>
      <c r="Y801" s="28"/>
      <c r="Z801" s="28"/>
      <c r="AK801" s="28"/>
      <c r="AS801" s="28"/>
      <c r="AT801" s="28"/>
    </row>
    <row r="802" spans="3:46" x14ac:dyDescent="0.15">
      <c r="C802" s="11">
        <v>2.144157886505127E-3</v>
      </c>
      <c r="D802" s="11">
        <v>7.0361346006393433E-3</v>
      </c>
      <c r="E802" s="11">
        <v>0.19089506202599052</v>
      </c>
      <c r="F802" s="11">
        <v>0</v>
      </c>
      <c r="G802" s="11">
        <v>3.8328021764755249E-2</v>
      </c>
      <c r="H802" s="40">
        <v>3.340438851572922E-4</v>
      </c>
      <c r="I802" s="40">
        <v>1.4776423561815129</v>
      </c>
      <c r="J802" s="59">
        <v>0</v>
      </c>
      <c r="K802" s="59">
        <v>4316.1609210073948</v>
      </c>
      <c r="L802" s="59">
        <v>0</v>
      </c>
      <c r="M802" s="11">
        <v>0.81413906812667847</v>
      </c>
      <c r="N802" s="11">
        <v>0.74135869741439819</v>
      </c>
      <c r="O802" s="11">
        <v>0.26065051555633545</v>
      </c>
      <c r="Q802" s="59">
        <v>14.310798265636965</v>
      </c>
      <c r="R802" s="78">
        <v>471.17744726841164</v>
      </c>
      <c r="S802" s="78">
        <v>14.342223553814469</v>
      </c>
      <c r="T802" s="78">
        <v>593.91581679150033</v>
      </c>
      <c r="U802" s="78">
        <v>3.1425288177503674E-2</v>
      </c>
      <c r="V802" s="78">
        <v>122.73836952308869</v>
      </c>
      <c r="Y802" s="28"/>
      <c r="Z802" s="28"/>
      <c r="AK802" s="28"/>
      <c r="AS802" s="28"/>
      <c r="AT802" s="28"/>
    </row>
    <row r="803" spans="3:46" x14ac:dyDescent="0.15">
      <c r="C803" s="11">
        <v>1.4581486582756042E-2</v>
      </c>
      <c r="D803" s="11">
        <v>1.6819626092910767E-2</v>
      </c>
      <c r="E803" s="11">
        <v>0.56124127298826165</v>
      </c>
      <c r="F803" s="11">
        <v>0</v>
      </c>
      <c r="G803" s="11">
        <v>4.6381771564483643E-2</v>
      </c>
      <c r="H803" s="40">
        <v>5.1490766041784031E-4</v>
      </c>
      <c r="I803" s="40">
        <v>1.4091417719348516</v>
      </c>
      <c r="J803" s="59">
        <v>0</v>
      </c>
      <c r="K803" s="59">
        <v>2984.311431646347</v>
      </c>
      <c r="L803" s="59">
        <v>0</v>
      </c>
      <c r="M803" s="11">
        <v>0.85421621799468994</v>
      </c>
      <c r="N803" s="11">
        <v>0.76051199436187744</v>
      </c>
      <c r="O803" s="11">
        <v>0.29886406660079956</v>
      </c>
      <c r="Q803" s="59">
        <v>14.809922932212563</v>
      </c>
      <c r="R803" s="78">
        <v>462.79790370545157</v>
      </c>
      <c r="S803" s="78">
        <v>14.835315003392616</v>
      </c>
      <c r="T803" s="78">
        <v>617.92342540156619</v>
      </c>
      <c r="U803" s="78">
        <v>2.5392071180052156E-2</v>
      </c>
      <c r="V803" s="78">
        <v>155.12552169611462</v>
      </c>
      <c r="Y803" s="28"/>
      <c r="Z803" s="28"/>
      <c r="AK803" s="28"/>
      <c r="AS803" s="28"/>
      <c r="AT803" s="28"/>
    </row>
    <row r="804" spans="3:46" x14ac:dyDescent="0.15">
      <c r="C804" s="11">
        <v>2.942308783531189E-2</v>
      </c>
      <c r="D804" s="11">
        <v>5.442008376121521E-3</v>
      </c>
      <c r="E804" s="11">
        <v>0.1781155653655481</v>
      </c>
      <c r="F804" s="11">
        <v>0</v>
      </c>
      <c r="G804" s="11">
        <v>3.9780110120773315E-2</v>
      </c>
      <c r="H804" s="40">
        <v>2.9403542223332453E-4</v>
      </c>
      <c r="I804" s="40">
        <v>1.5234978298875466</v>
      </c>
      <c r="J804" s="59">
        <v>0</v>
      </c>
      <c r="K804" s="59">
        <v>6706.8031057715416</v>
      </c>
      <c r="L804" s="59">
        <v>0</v>
      </c>
      <c r="M804" s="11">
        <v>0.85122272372245789</v>
      </c>
      <c r="N804" s="11">
        <v>0.78688067197799683</v>
      </c>
      <c r="O804" s="11">
        <v>0.23634910583496094</v>
      </c>
      <c r="Q804" s="59">
        <v>14.554823037804999</v>
      </c>
      <c r="R804" s="78">
        <v>512.35533327313237</v>
      </c>
      <c r="S804" s="78">
        <v>14.586291790584831</v>
      </c>
      <c r="T804" s="78">
        <v>600.35559087938577</v>
      </c>
      <c r="U804" s="78">
        <v>3.1468752779831632E-2</v>
      </c>
      <c r="V804" s="78">
        <v>88.000257606253399</v>
      </c>
      <c r="Y804" s="28"/>
      <c r="Z804" s="28"/>
      <c r="AK804" s="28"/>
      <c r="AS804" s="28"/>
      <c r="AT804" s="28"/>
    </row>
    <row r="805" spans="3:46" x14ac:dyDescent="0.15">
      <c r="C805" s="11">
        <v>2.216637134552002E-3</v>
      </c>
      <c r="D805" s="11">
        <v>5.2878260612487793E-3</v>
      </c>
      <c r="E805" s="11">
        <v>0.25969591830112237</v>
      </c>
      <c r="F805" s="11">
        <v>0</v>
      </c>
      <c r="G805" s="11">
        <v>2.2276550531387329E-2</v>
      </c>
      <c r="H805" s="40">
        <v>5.2981340418793038E-4</v>
      </c>
      <c r="I805" s="40">
        <v>1.4094750631815465</v>
      </c>
      <c r="J805" s="59">
        <v>0</v>
      </c>
      <c r="K805" s="59">
        <v>4163.6149398982525</v>
      </c>
      <c r="L805" s="59">
        <v>0</v>
      </c>
      <c r="M805" s="11">
        <v>0.87056171894073486</v>
      </c>
      <c r="N805" s="11">
        <v>0.7329285740852356</v>
      </c>
      <c r="O805" s="11">
        <v>0.28198301792144775</v>
      </c>
      <c r="Q805" s="59">
        <v>15.274214517649201</v>
      </c>
      <c r="R805" s="78">
        <v>482.09505842029699</v>
      </c>
      <c r="S805" s="78">
        <v>15.32495348948955</v>
      </c>
      <c r="T805" s="78">
        <v>602.20798899246188</v>
      </c>
      <c r="U805" s="78">
        <v>5.0738971840349478E-2</v>
      </c>
      <c r="V805" s="78">
        <v>120.11293057216488</v>
      </c>
      <c r="Y805" s="28"/>
      <c r="Z805" s="28"/>
      <c r="AK805" s="28"/>
      <c r="AS805" s="28"/>
      <c r="AT805" s="28"/>
    </row>
    <row r="806" spans="3:46" x14ac:dyDescent="0.15">
      <c r="C806" s="11">
        <v>1.8766224384307861E-2</v>
      </c>
      <c r="D806" s="11">
        <v>1.6761898994445801E-2</v>
      </c>
      <c r="E806" s="11">
        <v>0.22374199879492349</v>
      </c>
      <c r="F806" s="11">
        <v>0</v>
      </c>
      <c r="G806" s="11">
        <v>8.2411766052246094E-2</v>
      </c>
      <c r="H806" s="40">
        <v>3.6477082431921119E-4</v>
      </c>
      <c r="I806" s="40">
        <v>1.4681885886961157</v>
      </c>
      <c r="J806" s="59">
        <v>0</v>
      </c>
      <c r="K806" s="59">
        <v>7335.7485234737396</v>
      </c>
      <c r="L806" s="59">
        <v>0</v>
      </c>
      <c r="M806" s="11">
        <v>0.85169327259063721</v>
      </c>
      <c r="N806" s="11">
        <v>0.72708535194396973</v>
      </c>
      <c r="O806" s="11">
        <v>0.31572496891021729</v>
      </c>
      <c r="Q806" s="59">
        <v>14.701266050815077</v>
      </c>
      <c r="R806" s="78">
        <v>560.15735045813392</v>
      </c>
      <c r="S806" s="78">
        <v>14.747931938408756</v>
      </c>
      <c r="T806" s="78">
        <v>616.62846789779951</v>
      </c>
      <c r="U806" s="78">
        <v>4.66658875936794E-2</v>
      </c>
      <c r="V806" s="78">
        <v>56.471117439665591</v>
      </c>
      <c r="Y806" s="28"/>
      <c r="Z806" s="28"/>
      <c r="AK806" s="28"/>
      <c r="AS806" s="28"/>
      <c r="AT806" s="28"/>
    </row>
    <row r="807" spans="3:46" x14ac:dyDescent="0.15">
      <c r="C807" s="11">
        <v>2.9501140117645264E-2</v>
      </c>
      <c r="D807" s="11">
        <v>2.2595912218093872E-2</v>
      </c>
      <c r="E807" s="11">
        <v>0.24188006194676859</v>
      </c>
      <c r="F807" s="11">
        <v>0</v>
      </c>
      <c r="G807" s="11">
        <v>3.9127975702285767E-2</v>
      </c>
      <c r="H807" s="40">
        <v>4.2479384459952088E-4</v>
      </c>
      <c r="I807" s="40">
        <v>1.4199951887423303</v>
      </c>
      <c r="J807" s="59">
        <v>0</v>
      </c>
      <c r="K807" s="59">
        <v>5134.6165128052235</v>
      </c>
      <c r="L807" s="59">
        <v>0</v>
      </c>
      <c r="M807" s="11">
        <v>0.86198538541793823</v>
      </c>
      <c r="N807" s="11">
        <v>0.79624259471893311</v>
      </c>
      <c r="O807" s="11">
        <v>0.25400424003601074</v>
      </c>
      <c r="Q807" s="59">
        <v>14.731528274152611</v>
      </c>
      <c r="R807" s="78">
        <v>489.83074886033364</v>
      </c>
      <c r="S807" s="78">
        <v>14.765518198221756</v>
      </c>
      <c r="T807" s="78">
        <v>602.4597501296638</v>
      </c>
      <c r="U807" s="78">
        <v>3.3989924069144806E-2</v>
      </c>
      <c r="V807" s="78">
        <v>112.62900126933016</v>
      </c>
      <c r="Y807" s="28"/>
      <c r="Z807" s="28"/>
      <c r="AK807" s="28"/>
      <c r="AS807" s="28"/>
      <c r="AT807" s="28"/>
    </row>
    <row r="808" spans="3:46" x14ac:dyDescent="0.15">
      <c r="C808" s="11">
        <v>1.4484673738479614E-2</v>
      </c>
      <c r="D808" s="11">
        <v>2.5518745183944702E-2</v>
      </c>
      <c r="E808" s="11">
        <v>0.20666198614705059</v>
      </c>
      <c r="F808" s="11">
        <v>0</v>
      </c>
      <c r="G808" s="11">
        <v>3.5022556781768799E-2</v>
      </c>
      <c r="H808" s="40">
        <v>5.8941622532017869E-4</v>
      </c>
      <c r="I808" s="40">
        <v>1.5436841998387145</v>
      </c>
      <c r="J808" s="59">
        <v>0</v>
      </c>
      <c r="K808" s="59">
        <v>2638.3623480796814</v>
      </c>
      <c r="L808" s="59">
        <v>0</v>
      </c>
      <c r="M808" s="11">
        <v>0.8513982892036438</v>
      </c>
      <c r="N808" s="11">
        <v>0.66780853271484375</v>
      </c>
      <c r="O808" s="11">
        <v>0.2606961727142334</v>
      </c>
      <c r="Q808" s="59">
        <v>14.674021587517009</v>
      </c>
      <c r="R808" s="78">
        <v>489.90480663323166</v>
      </c>
      <c r="S808" s="78">
        <v>14.789617673816986</v>
      </c>
      <c r="T808" s="78">
        <v>599.35750520599584</v>
      </c>
      <c r="U808" s="78">
        <v>0.11559608629997697</v>
      </c>
      <c r="V808" s="78">
        <v>109.45269857276418</v>
      </c>
      <c r="Y808" s="28"/>
      <c r="Z808" s="28"/>
      <c r="AK808" s="28"/>
      <c r="AS808" s="28"/>
      <c r="AT808" s="28"/>
    </row>
    <row r="809" spans="3:46" x14ac:dyDescent="0.15">
      <c r="C809" s="11">
        <v>7.1972846984863281E-2</v>
      </c>
      <c r="D809" s="11">
        <v>1.5327602624893188E-2</v>
      </c>
      <c r="E809" s="11">
        <v>0.39243796599039754</v>
      </c>
      <c r="F809" s="11">
        <v>0</v>
      </c>
      <c r="G809" s="11">
        <v>4.529300332069397E-2</v>
      </c>
      <c r="H809" s="40">
        <v>4.853039673939305E-4</v>
      </c>
      <c r="I809" s="40">
        <v>1.4888877927119637</v>
      </c>
      <c r="J809" s="59">
        <v>0</v>
      </c>
      <c r="K809" s="59">
        <v>4459.7010128200054</v>
      </c>
      <c r="L809" s="59">
        <v>0</v>
      </c>
      <c r="M809" s="11">
        <v>0.85974401235580444</v>
      </c>
      <c r="N809" s="11">
        <v>0.72865867614746094</v>
      </c>
      <c r="O809" s="11">
        <v>0.329947829246521</v>
      </c>
      <c r="Q809" s="59">
        <v>14.017077173244058</v>
      </c>
      <c r="R809" s="78">
        <v>508.18796121575525</v>
      </c>
      <c r="S809" s="78">
        <v>14.06282429555138</v>
      </c>
      <c r="T809" s="78">
        <v>624.43602364669823</v>
      </c>
      <c r="U809" s="78">
        <v>4.574712230732203E-2</v>
      </c>
      <c r="V809" s="78">
        <v>116.24806243094298</v>
      </c>
      <c r="Y809" s="28"/>
      <c r="Z809" s="28"/>
      <c r="AK809" s="28"/>
      <c r="AS809" s="28"/>
      <c r="AT809" s="28"/>
    </row>
    <row r="810" spans="3:46" x14ac:dyDescent="0.15">
      <c r="C810" s="11">
        <v>5.0476193428039551E-3</v>
      </c>
      <c r="D810" s="11">
        <v>1.3319045305252075E-2</v>
      </c>
      <c r="E810" s="11">
        <v>0.44499722200613973</v>
      </c>
      <c r="F810" s="11">
        <v>0</v>
      </c>
      <c r="G810" s="11">
        <v>3.933289647102356E-2</v>
      </c>
      <c r="H810" s="40">
        <v>5.5502374031763389E-4</v>
      </c>
      <c r="I810" s="40">
        <v>1.4613421753841305</v>
      </c>
      <c r="J810" s="59">
        <v>0</v>
      </c>
      <c r="K810" s="59">
        <v>4577.4457976222038</v>
      </c>
      <c r="L810" s="59">
        <v>0</v>
      </c>
      <c r="M810" s="11">
        <v>0.86679267883300781</v>
      </c>
      <c r="N810" s="11">
        <v>0.76923137903213501</v>
      </c>
      <c r="O810" s="11">
        <v>0.2969004213809967</v>
      </c>
      <c r="Q810" s="59">
        <v>15.159544531720988</v>
      </c>
      <c r="R810" s="78">
        <v>522.61046209060908</v>
      </c>
      <c r="S810" s="78">
        <v>15.200011211897218</v>
      </c>
      <c r="T810" s="78">
        <v>636.99081419327706</v>
      </c>
      <c r="U810" s="78">
        <v>4.0466680176230341E-2</v>
      </c>
      <c r="V810" s="78">
        <v>114.38035210266798</v>
      </c>
      <c r="Y810" s="28"/>
      <c r="Z810" s="28"/>
      <c r="AK810" s="28"/>
      <c r="AS810" s="28"/>
      <c r="AT810" s="28"/>
    </row>
    <row r="811" spans="3:46" x14ac:dyDescent="0.15">
      <c r="C811" s="11">
        <v>6.3541233539581299E-3</v>
      </c>
      <c r="D811" s="11">
        <v>2.1464556455612183E-2</v>
      </c>
      <c r="E811" s="11">
        <v>0.41114658086812944</v>
      </c>
      <c r="F811" s="11">
        <v>0</v>
      </c>
      <c r="G811" s="11">
        <v>2.9559880495071411E-2</v>
      </c>
      <c r="H811" s="40">
        <v>3.3985156138663082E-4</v>
      </c>
      <c r="I811" s="40">
        <v>1.5894463793322771</v>
      </c>
      <c r="J811" s="59">
        <v>0</v>
      </c>
      <c r="K811" s="59">
        <v>4422.7973558008671</v>
      </c>
      <c r="L811" s="59">
        <v>0</v>
      </c>
      <c r="M811" s="11">
        <v>0.82980912923812866</v>
      </c>
      <c r="N811" s="11">
        <v>0.7235446572303772</v>
      </c>
      <c r="O811" s="11">
        <v>0.2869376540184021</v>
      </c>
      <c r="Q811" s="59">
        <v>14.495227204156118</v>
      </c>
      <c r="R811" s="78">
        <v>499.17425626851656</v>
      </c>
      <c r="S811" s="78">
        <v>14.535427739650753</v>
      </c>
      <c r="T811" s="78">
        <v>622.83357230287424</v>
      </c>
      <c r="U811" s="78">
        <v>4.0200535494635758E-2</v>
      </c>
      <c r="V811" s="78">
        <v>123.65931603435769</v>
      </c>
      <c r="Y811" s="28"/>
      <c r="Z811" s="28"/>
      <c r="AK811" s="28"/>
      <c r="AS811" s="28"/>
      <c r="AT811" s="28"/>
    </row>
    <row r="812" spans="3:46" x14ac:dyDescent="0.15">
      <c r="C812" s="11">
        <v>1.7492011189460754E-2</v>
      </c>
      <c r="D812" s="11">
        <v>3.7693828344345093E-3</v>
      </c>
      <c r="E812" s="11">
        <v>0.12257783696056357</v>
      </c>
      <c r="F812" s="11">
        <v>0</v>
      </c>
      <c r="G812" s="11">
        <v>2.2202819585800171E-2</v>
      </c>
      <c r="H812" s="40">
        <v>3.3606647618622559E-4</v>
      </c>
      <c r="I812" s="40">
        <v>1.5136071359986838</v>
      </c>
      <c r="J812" s="59">
        <v>0</v>
      </c>
      <c r="K812" s="59">
        <v>3360.7287332415581</v>
      </c>
      <c r="L812" s="59">
        <v>0</v>
      </c>
      <c r="M812" s="11">
        <v>0.78433132171630859</v>
      </c>
      <c r="N812" s="11">
        <v>0.73167943954467773</v>
      </c>
      <c r="O812" s="11">
        <v>0.30402082204818726</v>
      </c>
      <c r="Q812" s="59">
        <v>13.579720743584819</v>
      </c>
      <c r="R812" s="78">
        <v>454.46162396125413</v>
      </c>
      <c r="S812" s="78">
        <v>13.607759773405542</v>
      </c>
      <c r="T812" s="78">
        <v>586.52734797234029</v>
      </c>
      <c r="U812" s="78">
        <v>2.8039029820723371E-2</v>
      </c>
      <c r="V812" s="78">
        <v>132.06572401108616</v>
      </c>
      <c r="Y812" s="28"/>
      <c r="Z812" s="28"/>
      <c r="AK812" s="28"/>
      <c r="AS812" s="28"/>
      <c r="AT812" s="28"/>
    </row>
    <row r="813" spans="3:46" x14ac:dyDescent="0.15">
      <c r="C813" s="11">
        <v>3.4177899360656738E-3</v>
      </c>
      <c r="D813" s="11">
        <v>1.6506612300872803E-2</v>
      </c>
      <c r="E813" s="11">
        <v>0.26281445866767633</v>
      </c>
      <c r="F813" s="11">
        <v>0</v>
      </c>
      <c r="G813" s="11">
        <v>3.5354942083358765E-2</v>
      </c>
      <c r="H813" s="40">
        <v>5.2864433414922152E-4</v>
      </c>
      <c r="I813" s="40">
        <v>1.3428407780464657</v>
      </c>
      <c r="J813" s="59">
        <v>0</v>
      </c>
      <c r="K813" s="59">
        <v>4303.8581497967243</v>
      </c>
      <c r="L813" s="59">
        <v>0</v>
      </c>
      <c r="M813" s="11">
        <v>0.89043962955474854</v>
      </c>
      <c r="N813" s="11">
        <v>0.73840451240539551</v>
      </c>
      <c r="O813" s="11">
        <v>0.3100205659866333</v>
      </c>
      <c r="Q813" s="59">
        <v>15.610402534208172</v>
      </c>
      <c r="R813" s="78">
        <v>474.47368637166517</v>
      </c>
      <c r="S813" s="78">
        <v>15.657509145290698</v>
      </c>
      <c r="T813" s="78">
        <v>600.38684731614387</v>
      </c>
      <c r="U813" s="78">
        <v>4.7106611082526229E-2</v>
      </c>
      <c r="V813" s="78">
        <v>125.9131609444787</v>
      </c>
      <c r="Y813" s="28"/>
      <c r="Z813" s="28"/>
      <c r="AK813" s="28"/>
      <c r="AS813" s="28"/>
      <c r="AT813" s="28"/>
    </row>
    <row r="814" spans="3:46" x14ac:dyDescent="0.15">
      <c r="C814" s="11">
        <v>4.8828363418579102E-2</v>
      </c>
      <c r="D814" s="11">
        <v>3.5961925983428955E-2</v>
      </c>
      <c r="E814" s="11">
        <v>0.21525573270489973</v>
      </c>
      <c r="F814" s="11">
        <v>0</v>
      </c>
      <c r="G814" s="11">
        <v>1.8671154975891113E-2</v>
      </c>
      <c r="H814" s="40">
        <v>3.8418442512422367E-4</v>
      </c>
      <c r="I814" s="40">
        <v>1.4480468577290959</v>
      </c>
      <c r="J814" s="59">
        <v>0</v>
      </c>
      <c r="K814" s="59">
        <v>6024.7629880905151</v>
      </c>
      <c r="L814" s="59">
        <v>0</v>
      </c>
      <c r="M814" s="11">
        <v>0.8554217517375946</v>
      </c>
      <c r="N814" s="11">
        <v>0.72247195243835449</v>
      </c>
      <c r="O814" s="11">
        <v>0.31001943349838257</v>
      </c>
      <c r="Q814" s="59">
        <v>14.314665856912704</v>
      </c>
      <c r="R814" s="78">
        <v>490.53647664599816</v>
      </c>
      <c r="S814" s="78">
        <v>14.359498507696394</v>
      </c>
      <c r="T814" s="78">
        <v>600.0454724033566</v>
      </c>
      <c r="U814" s="78">
        <v>4.4832650783689587E-2</v>
      </c>
      <c r="V814" s="78">
        <v>109.50899575735843</v>
      </c>
      <c r="Y814" s="28"/>
      <c r="Z814" s="28"/>
      <c r="AK814" s="28"/>
      <c r="AS814" s="28"/>
      <c r="AT814" s="28"/>
    </row>
    <row r="815" spans="3:46" x14ac:dyDescent="0.15">
      <c r="C815" s="11">
        <v>3.3164620399475098E-2</v>
      </c>
      <c r="D815" s="11">
        <v>1.5183508396148682E-2</v>
      </c>
      <c r="E815" s="11">
        <v>0.16610564053397209</v>
      </c>
      <c r="F815" s="11">
        <v>0</v>
      </c>
      <c r="G815" s="11">
        <v>3.7443369626998901E-2</v>
      </c>
      <c r="H815" s="40">
        <v>5.1621749769959727E-4</v>
      </c>
      <c r="I815" s="40">
        <v>1.403343188466321</v>
      </c>
      <c r="J815" s="59">
        <v>0</v>
      </c>
      <c r="K815" s="59">
        <v>7079.8210799694061</v>
      </c>
      <c r="L815" s="59">
        <v>0</v>
      </c>
      <c r="M815" s="11">
        <v>0.86051499843597412</v>
      </c>
      <c r="N815" s="11">
        <v>0.71680843830108643</v>
      </c>
      <c r="O815" s="11">
        <v>0.31967264413833618</v>
      </c>
      <c r="Q815" s="59">
        <v>14.627219451930994</v>
      </c>
      <c r="R815" s="78">
        <v>544.97305698360458</v>
      </c>
      <c r="S815" s="78">
        <v>14.684109710037145</v>
      </c>
      <c r="T815" s="78">
        <v>604.46063787206526</v>
      </c>
      <c r="U815" s="78">
        <v>5.6890258106150782E-2</v>
      </c>
      <c r="V815" s="78">
        <v>59.487580888460684</v>
      </c>
      <c r="Y815" s="28"/>
      <c r="Z815" s="28"/>
      <c r="AK815" s="28"/>
      <c r="AS815" s="28"/>
      <c r="AT815" s="28"/>
    </row>
    <row r="816" spans="3:46" x14ac:dyDescent="0.15">
      <c r="C816" s="11">
        <v>5.0456225872039795E-3</v>
      </c>
      <c r="D816" s="11">
        <v>8.7178945541381836E-3</v>
      </c>
      <c r="E816" s="11">
        <v>0.2181455548299375</v>
      </c>
      <c r="F816" s="11">
        <v>0</v>
      </c>
      <c r="G816" s="11">
        <v>3.767356276512146E-2</v>
      </c>
      <c r="H816" s="40">
        <v>3.9465739338569969E-4</v>
      </c>
      <c r="I816" s="40">
        <v>1.44443577441806</v>
      </c>
      <c r="J816" s="59">
        <v>0</v>
      </c>
      <c r="K816" s="59">
        <v>4721.8101099133492</v>
      </c>
      <c r="L816" s="59">
        <v>0</v>
      </c>
      <c r="M816" s="11">
        <v>0.85207998752593994</v>
      </c>
      <c r="N816" s="11">
        <v>0.79920542240142822</v>
      </c>
      <c r="O816" s="11">
        <v>0.3353416919708252</v>
      </c>
      <c r="Q816" s="59">
        <v>14.939382262545076</v>
      </c>
      <c r="R816" s="78">
        <v>483.80857083444704</v>
      </c>
      <c r="S816" s="78">
        <v>14.96698780169973</v>
      </c>
      <c r="T816" s="78">
        <v>598.83875193585141</v>
      </c>
      <c r="U816" s="78">
        <v>2.7605539154654579E-2</v>
      </c>
      <c r="V816" s="78">
        <v>115.03018110140437</v>
      </c>
      <c r="Y816" s="28"/>
      <c r="Z816" s="28"/>
      <c r="AK816" s="28"/>
      <c r="AS816" s="28"/>
      <c r="AT816" s="28"/>
    </row>
    <row r="817" spans="3:46" x14ac:dyDescent="0.15">
      <c r="C817" s="11">
        <v>5.4105520248413086E-2</v>
      </c>
      <c r="D817" s="11">
        <v>2.0417630672454834E-2</v>
      </c>
      <c r="E817" s="11">
        <v>0.22561767158515916</v>
      </c>
      <c r="F817" s="11">
        <v>0</v>
      </c>
      <c r="G817" s="11">
        <v>3.2809138298034668E-2</v>
      </c>
      <c r="H817" s="40">
        <v>4.0720782578096187E-4</v>
      </c>
      <c r="I817" s="40">
        <v>1.4001715806731831</v>
      </c>
      <c r="J817" s="59">
        <v>0</v>
      </c>
      <c r="K817" s="59">
        <v>6332.7979296445847</v>
      </c>
      <c r="L817" s="59">
        <v>0</v>
      </c>
      <c r="M817" s="11">
        <v>0.87652909755706787</v>
      </c>
      <c r="N817" s="11">
        <v>0.76459908485412598</v>
      </c>
      <c r="O817" s="11">
        <v>0.3075295090675354</v>
      </c>
      <c r="Q817" s="59">
        <v>14.597700530914009</v>
      </c>
      <c r="R817" s="78">
        <v>495.01965515185015</v>
      </c>
      <c r="S817" s="78">
        <v>14.634148639046568</v>
      </c>
      <c r="T817" s="78">
        <v>602.04523863692327</v>
      </c>
      <c r="U817" s="78">
        <v>3.6448108132558943E-2</v>
      </c>
      <c r="V817" s="78">
        <v>107.02558348507313</v>
      </c>
      <c r="Y817" s="28"/>
      <c r="Z817" s="28"/>
      <c r="AK817" s="28"/>
      <c r="AS817" s="28"/>
      <c r="AT817" s="28"/>
    </row>
    <row r="818" spans="3:46" x14ac:dyDescent="0.15">
      <c r="C818" s="11">
        <v>2.7998805046081543E-2</v>
      </c>
      <c r="D818" s="11">
        <v>5.1236510276794434E-2</v>
      </c>
      <c r="E818" s="11">
        <v>0.15872212380349368</v>
      </c>
      <c r="F818" s="11">
        <v>0</v>
      </c>
      <c r="G818" s="11">
        <v>3.8662940263748169E-2</v>
      </c>
      <c r="H818" s="40">
        <v>5.167408912123407E-4</v>
      </c>
      <c r="I818" s="40">
        <v>1.3726716575610776</v>
      </c>
      <c r="J818" s="59">
        <v>0</v>
      </c>
      <c r="K818" s="59">
        <v>3524.7765481472015</v>
      </c>
      <c r="L818" s="59">
        <v>0</v>
      </c>
      <c r="M818" s="11">
        <v>0.81817996501922607</v>
      </c>
      <c r="N818" s="11">
        <v>0.70141637325286865</v>
      </c>
      <c r="O818" s="11">
        <v>0.24749875068664551</v>
      </c>
      <c r="Q818" s="59">
        <v>13.981455920410424</v>
      </c>
      <c r="R818" s="78">
        <v>463.04381080483637</v>
      </c>
      <c r="S818" s="78">
        <v>14.036724031544136</v>
      </c>
      <c r="T818" s="78">
        <v>590.11086039114343</v>
      </c>
      <c r="U818" s="78">
        <v>5.5268111133711884E-2</v>
      </c>
      <c r="V818" s="78">
        <v>127.06704958630706</v>
      </c>
      <c r="Y818" s="28"/>
      <c r="Z818" s="28"/>
      <c r="AK818" s="28"/>
      <c r="AS818" s="28"/>
      <c r="AT818" s="28"/>
    </row>
    <row r="819" spans="3:46" x14ac:dyDescent="0.15">
      <c r="C819" s="11">
        <v>3.8036584854125977E-2</v>
      </c>
      <c r="D819" s="11">
        <v>5.8131664991378784E-3</v>
      </c>
      <c r="E819" s="11">
        <v>0.11082285506954487</v>
      </c>
      <c r="F819" s="11">
        <v>0</v>
      </c>
      <c r="G819" s="11">
        <v>2.2132843732833862E-2</v>
      </c>
      <c r="H819" s="40">
        <v>5.3582280461053253E-4</v>
      </c>
      <c r="I819" s="40">
        <v>1.4966336766727841</v>
      </c>
      <c r="J819" s="59">
        <v>0</v>
      </c>
      <c r="K819" s="59">
        <v>5853.6743745207787</v>
      </c>
      <c r="L819" s="59">
        <v>0</v>
      </c>
      <c r="M819" s="11">
        <v>0.83955883979797363</v>
      </c>
      <c r="N819" s="11">
        <v>0.633636474609375</v>
      </c>
      <c r="O819" s="11">
        <v>0.33621275424957275</v>
      </c>
      <c r="Q819" s="59">
        <v>14.156094494290475</v>
      </c>
      <c r="R819" s="78">
        <v>548.87877238770375</v>
      </c>
      <c r="S819" s="78">
        <v>14.253095338205512</v>
      </c>
      <c r="T819" s="78">
        <v>596.57330097117915</v>
      </c>
      <c r="U819" s="78">
        <v>9.7000843915036938E-2</v>
      </c>
      <c r="V819" s="78">
        <v>47.694528583475403</v>
      </c>
      <c r="Y819" s="28"/>
      <c r="Z819" s="28"/>
      <c r="AK819" s="28"/>
      <c r="AS819" s="28"/>
      <c r="AT819" s="28"/>
    </row>
    <row r="820" spans="3:46" x14ac:dyDescent="0.15">
      <c r="C820" s="11">
        <v>2.1564364433288574E-3</v>
      </c>
      <c r="D820" s="11">
        <v>2.7358114719390869E-2</v>
      </c>
      <c r="E820" s="11">
        <v>0.33043038301519889</v>
      </c>
      <c r="F820" s="11">
        <v>0</v>
      </c>
      <c r="G820" s="11">
        <v>2.6228666305541992E-2</v>
      </c>
      <c r="H820" s="40">
        <v>4.5837499012394334E-4</v>
      </c>
      <c r="I820" s="40">
        <v>1.4388992529232401</v>
      </c>
      <c r="J820" s="59">
        <v>0</v>
      </c>
      <c r="K820" s="59">
        <v>3409.5393493771553</v>
      </c>
      <c r="L820" s="59">
        <v>0</v>
      </c>
      <c r="M820" s="11">
        <v>0.83398157358169556</v>
      </c>
      <c r="N820" s="11">
        <v>0.72478747367858887</v>
      </c>
      <c r="O820" s="11">
        <v>0.26687002182006836</v>
      </c>
      <c r="Q820" s="59">
        <v>14.636929994757434</v>
      </c>
      <c r="R820" s="78">
        <v>463.42068362535258</v>
      </c>
      <c r="S820" s="78">
        <v>14.678418433851348</v>
      </c>
      <c r="T820" s="78">
        <v>602.22430409188325</v>
      </c>
      <c r="U820" s="78">
        <v>4.1488439093914309E-2</v>
      </c>
      <c r="V820" s="78">
        <v>138.80362046653067</v>
      </c>
      <c r="Y820" s="28"/>
      <c r="Z820" s="28"/>
      <c r="AK820" s="28"/>
      <c r="AS820" s="28"/>
      <c r="AT820" s="28"/>
    </row>
    <row r="821" spans="3:46" x14ac:dyDescent="0.15">
      <c r="C821" s="11">
        <v>5.5673271417617798E-3</v>
      </c>
      <c r="D821" s="11">
        <v>3.1118631362915039E-2</v>
      </c>
      <c r="E821" s="11">
        <v>0.1158630209929261</v>
      </c>
      <c r="F821" s="11">
        <v>0</v>
      </c>
      <c r="G821" s="11">
        <v>2.9994010925292969E-2</v>
      </c>
      <c r="H821" s="40">
        <v>3.5965856114114733E-4</v>
      </c>
      <c r="I821" s="40">
        <v>1.4927288553680471</v>
      </c>
      <c r="J821" s="59">
        <v>0</v>
      </c>
      <c r="K821" s="59">
        <v>4166.7371988296509</v>
      </c>
      <c r="L821" s="59">
        <v>0</v>
      </c>
      <c r="M821" s="11">
        <v>0.86258760094642639</v>
      </c>
      <c r="N821" s="11">
        <v>0.72748059034347534</v>
      </c>
      <c r="O821" s="11">
        <v>0.28120225667953491</v>
      </c>
      <c r="Q821" s="59">
        <v>15.084879016310563</v>
      </c>
      <c r="R821" s="78">
        <v>473.36481784052825</v>
      </c>
      <c r="S821" s="78">
        <v>15.143694463849412</v>
      </c>
      <c r="T821" s="78">
        <v>588.33866932217461</v>
      </c>
      <c r="U821" s="78">
        <v>5.8815447538849597E-2</v>
      </c>
      <c r="V821" s="78">
        <v>114.97385148164636</v>
      </c>
      <c r="Y821" s="28"/>
      <c r="Z821" s="28"/>
      <c r="AK821" s="28"/>
      <c r="AS821" s="28"/>
      <c r="AT821" s="28"/>
    </row>
    <row r="822" spans="3:46" x14ac:dyDescent="0.15">
      <c r="C822" s="11">
        <v>1.3143882155418396E-2</v>
      </c>
      <c r="D822" s="11">
        <v>1.9165679812431335E-2</v>
      </c>
      <c r="E822" s="11">
        <v>0.2422044024440333</v>
      </c>
      <c r="F822" s="11">
        <v>0</v>
      </c>
      <c r="G822" s="11">
        <v>5.075111985206604E-2</v>
      </c>
      <c r="H822" s="40">
        <v>2.0057901856230568E-4</v>
      </c>
      <c r="I822" s="40">
        <v>1.6779051196935024</v>
      </c>
      <c r="J822" s="59">
        <v>0</v>
      </c>
      <c r="K822" s="59">
        <v>5693.6009787023067</v>
      </c>
      <c r="L822" s="59">
        <v>0</v>
      </c>
      <c r="M822" s="11">
        <v>0.86117607355117798</v>
      </c>
      <c r="N822" s="11">
        <v>0.77848362922668457</v>
      </c>
      <c r="O822" s="11">
        <v>0.29352203011512756</v>
      </c>
      <c r="Q822" s="59">
        <v>14.960649505881952</v>
      </c>
      <c r="R822" s="78">
        <v>509.03640568842576</v>
      </c>
      <c r="S822" s="78">
        <v>14.998985611276753</v>
      </c>
      <c r="T822" s="78">
        <v>607.2518140589923</v>
      </c>
      <c r="U822" s="78">
        <v>3.8336105394801478E-2</v>
      </c>
      <c r="V822" s="78">
        <v>98.215408370566536</v>
      </c>
      <c r="Y822" s="28"/>
      <c r="Z822" s="28"/>
      <c r="AK822" s="28"/>
      <c r="AS822" s="28"/>
      <c r="AT822" s="28"/>
    </row>
    <row r="823" spans="3:46" x14ac:dyDescent="0.15">
      <c r="C823" s="11">
        <v>1.9160091876983643E-2</v>
      </c>
      <c r="D823" s="11">
        <v>1.1062383651733398E-2</v>
      </c>
      <c r="E823" s="11">
        <v>0.33258125514519493</v>
      </c>
      <c r="F823" s="11">
        <v>0</v>
      </c>
      <c r="G823" s="11">
        <v>5.2754074335098267E-2</v>
      </c>
      <c r="H823" s="40">
        <v>4.431792271524984E-4</v>
      </c>
      <c r="I823" s="40">
        <v>1.4900759993281152</v>
      </c>
      <c r="J823" s="59">
        <v>0</v>
      </c>
      <c r="K823" s="59">
        <v>4257.0102959871292</v>
      </c>
      <c r="L823" s="59">
        <v>0</v>
      </c>
      <c r="M823" s="11">
        <v>0.8641112744808197</v>
      </c>
      <c r="N823" s="11">
        <v>0.64940166473388672</v>
      </c>
      <c r="O823" s="11">
        <v>0.3268744945526123</v>
      </c>
      <c r="Q823" s="59">
        <v>14.870569185405271</v>
      </c>
      <c r="R823" s="78">
        <v>503.76508626638918</v>
      </c>
      <c r="S823" s="78">
        <v>14.93696906814219</v>
      </c>
      <c r="T823" s="78">
        <v>616.01561150972475</v>
      </c>
      <c r="U823" s="78">
        <v>6.6399882736918769E-2</v>
      </c>
      <c r="V823" s="78">
        <v>112.25052524333557</v>
      </c>
      <c r="Y823" s="28"/>
      <c r="Z823" s="28"/>
      <c r="AK823" s="28"/>
      <c r="AS823" s="28"/>
      <c r="AT823" s="28"/>
    </row>
    <row r="824" spans="3:46" x14ac:dyDescent="0.15">
      <c r="C824" s="11">
        <v>8.634030818939209E-3</v>
      </c>
      <c r="D824" s="11">
        <v>1.9040226936340332E-2</v>
      </c>
      <c r="E824" s="11">
        <v>0.18291575650542125</v>
      </c>
      <c r="F824" s="11">
        <v>0</v>
      </c>
      <c r="G824" s="11">
        <v>5.7621598243713379E-2</v>
      </c>
      <c r="H824" s="40">
        <v>4.0581163356152459E-4</v>
      </c>
      <c r="I824" s="40">
        <v>1.4258908069039031</v>
      </c>
      <c r="J824" s="59">
        <v>0</v>
      </c>
      <c r="K824" s="59">
        <v>3341.9346436858177</v>
      </c>
      <c r="L824" s="59">
        <v>0</v>
      </c>
      <c r="M824" s="11">
        <v>0.87357354164123535</v>
      </c>
      <c r="N824" s="11">
        <v>0.7170257568359375</v>
      </c>
      <c r="O824" s="11">
        <v>0.28527063131332397</v>
      </c>
      <c r="Q824" s="59">
        <v>15.229648036940077</v>
      </c>
      <c r="R824" s="78">
        <v>461.78280941414414</v>
      </c>
      <c r="S824" s="78">
        <v>15.284671250852959</v>
      </c>
      <c r="T824" s="78">
        <v>591.55367198724286</v>
      </c>
      <c r="U824" s="78">
        <v>5.5023213912882341E-2</v>
      </c>
      <c r="V824" s="78">
        <v>129.77086257309873</v>
      </c>
      <c r="Y824" s="28"/>
      <c r="Z824" s="28"/>
      <c r="AK824" s="28"/>
      <c r="AS824" s="28"/>
      <c r="AT824" s="28"/>
    </row>
    <row r="825" spans="3:46" x14ac:dyDescent="0.15">
      <c r="C825" s="11">
        <v>1.3128623366355896E-2</v>
      </c>
      <c r="D825" s="11">
        <v>6.2897354364395142E-3</v>
      </c>
      <c r="E825" s="11">
        <v>0.17570288009125193</v>
      </c>
      <c r="F825" s="11">
        <v>0</v>
      </c>
      <c r="G825" s="11">
        <v>7.7379703521728516E-2</v>
      </c>
      <c r="H825" s="40">
        <v>5.8671032810498757E-4</v>
      </c>
      <c r="I825" s="40">
        <v>1.41692130697135</v>
      </c>
      <c r="J825" s="59">
        <v>0</v>
      </c>
      <c r="K825" s="59">
        <v>3664.093092083931</v>
      </c>
      <c r="L825" s="59">
        <v>0</v>
      </c>
      <c r="M825" s="11">
        <v>0.82798200845718384</v>
      </c>
      <c r="N825" s="11">
        <v>0.71336925029754639</v>
      </c>
      <c r="O825" s="11">
        <v>0.26594746112823486</v>
      </c>
      <c r="Q825" s="59">
        <v>14.356686384622071</v>
      </c>
      <c r="R825" s="78">
        <v>507.37707440619721</v>
      </c>
      <c r="S825" s="78">
        <v>14.419410066200406</v>
      </c>
      <c r="T825" s="78">
        <v>599.26747601031786</v>
      </c>
      <c r="U825" s="78">
        <v>6.2723681578335189E-2</v>
      </c>
      <c r="V825" s="78">
        <v>91.890401604120655</v>
      </c>
      <c r="Y825" s="28"/>
      <c r="Z825" s="28"/>
      <c r="AK825" s="28"/>
      <c r="AS825" s="28"/>
      <c r="AT825" s="28"/>
    </row>
    <row r="826" spans="3:46" x14ac:dyDescent="0.15">
      <c r="C826" s="11">
        <v>1.9215941429138184E-3</v>
      </c>
      <c r="D826" s="11">
        <v>3.1011998653411865E-3</v>
      </c>
      <c r="E826" s="11">
        <v>9.9564531399254766E-2</v>
      </c>
      <c r="F826" s="11">
        <v>0</v>
      </c>
      <c r="G826" s="11">
        <v>3.6594420671463013E-2</v>
      </c>
      <c r="H826" s="40">
        <v>4.8620677778135022E-4</v>
      </c>
      <c r="I826" s="40">
        <v>1.5572848358378431</v>
      </c>
      <c r="J826" s="59">
        <v>0</v>
      </c>
      <c r="K826" s="59">
        <v>8811.8575513362885</v>
      </c>
      <c r="L826" s="59">
        <v>0</v>
      </c>
      <c r="M826" s="11">
        <v>0.84977537393569946</v>
      </c>
      <c r="N826" s="11">
        <v>0.75262409448623657</v>
      </c>
      <c r="O826" s="11">
        <v>0.31629055738449097</v>
      </c>
      <c r="Q826" s="59">
        <v>14.902653397170313</v>
      </c>
      <c r="R826" s="78">
        <v>677.62834541174948</v>
      </c>
      <c r="S826" s="78">
        <v>14.973159675104323</v>
      </c>
      <c r="T826" s="78">
        <v>607.9925345979708</v>
      </c>
      <c r="U826" s="78">
        <v>7.0506277934009987E-2</v>
      </c>
      <c r="V826" s="78">
        <v>-69.635810813778676</v>
      </c>
      <c r="Y826" s="28"/>
      <c r="Z826" s="28"/>
      <c r="AK826" s="28"/>
      <c r="AS826" s="28"/>
      <c r="AT826" s="28"/>
    </row>
    <row r="827" spans="3:46" x14ac:dyDescent="0.15">
      <c r="C827" s="11">
        <v>1.7404645681381226E-2</v>
      </c>
      <c r="D827" s="11">
        <v>3.3271491527557373E-2</v>
      </c>
      <c r="E827" s="11">
        <v>0.20661828182018971</v>
      </c>
      <c r="F827" s="11">
        <v>0</v>
      </c>
      <c r="G827" s="11">
        <v>3.7276029586791992E-2</v>
      </c>
      <c r="H827" s="40">
        <v>4.8178867790800634E-4</v>
      </c>
      <c r="I827" s="40">
        <v>1.3681208162908109</v>
      </c>
      <c r="J827" s="59">
        <v>0</v>
      </c>
      <c r="K827" s="59">
        <v>4103.0417196452618</v>
      </c>
      <c r="L827" s="59">
        <v>0</v>
      </c>
      <c r="M827" s="11">
        <v>0.79556918144226074</v>
      </c>
      <c r="N827" s="11">
        <v>0.77154266834259033</v>
      </c>
      <c r="O827" s="11">
        <v>0.27666568756103516</v>
      </c>
      <c r="Q827" s="59">
        <v>13.775114205460817</v>
      </c>
      <c r="R827" s="78">
        <v>468.6758370408732</v>
      </c>
      <c r="S827" s="78">
        <v>13.801121242703173</v>
      </c>
      <c r="T827" s="78">
        <v>594.61467915240939</v>
      </c>
      <c r="U827" s="78">
        <v>2.6007037242356645E-2</v>
      </c>
      <c r="V827" s="78">
        <v>125.93884211153619</v>
      </c>
      <c r="Y827" s="28"/>
      <c r="Z827" s="28"/>
      <c r="AK827" s="28"/>
      <c r="AS827" s="28"/>
      <c r="AT827" s="28"/>
    </row>
    <row r="828" spans="3:46" x14ac:dyDescent="0.15">
      <c r="C828" s="11">
        <v>1.6936689615249634E-2</v>
      </c>
      <c r="D828" s="11">
        <v>1.5671178698539734E-2</v>
      </c>
      <c r="E828" s="11">
        <v>0.17756122318379614</v>
      </c>
      <c r="F828" s="11">
        <v>0</v>
      </c>
      <c r="G828" s="11">
        <v>2.4993330240249634E-2</v>
      </c>
      <c r="H828" s="40">
        <v>3.7119672347715743E-4</v>
      </c>
      <c r="I828" s="40">
        <v>1.4765665737502962</v>
      </c>
      <c r="J828" s="59">
        <v>0</v>
      </c>
      <c r="K828" s="59">
        <v>4082.1428410708904</v>
      </c>
      <c r="L828" s="59">
        <v>0</v>
      </c>
      <c r="M828" s="11">
        <v>0.83048754930496216</v>
      </c>
      <c r="N828" s="11">
        <v>0.70920515060424805</v>
      </c>
      <c r="O828" s="11">
        <v>0.30232489109039307</v>
      </c>
      <c r="Q828" s="59">
        <v>14.366232853803615</v>
      </c>
      <c r="R828" s="78">
        <v>467.83421032587012</v>
      </c>
      <c r="S828" s="78">
        <v>14.411061225065145</v>
      </c>
      <c r="T828" s="78">
        <v>592.29606898194163</v>
      </c>
      <c r="U828" s="78">
        <v>4.4828371261530719E-2</v>
      </c>
      <c r="V828" s="78">
        <v>124.46185865607151</v>
      </c>
      <c r="Y828" s="28"/>
      <c r="Z828" s="28"/>
      <c r="AK828" s="28"/>
      <c r="AS828" s="28"/>
      <c r="AT828" s="28"/>
    </row>
    <row r="829" spans="3:46" x14ac:dyDescent="0.15">
      <c r="C829" s="11">
        <v>2.1021217107772827E-2</v>
      </c>
      <c r="D829" s="11">
        <v>3.4291207790374756E-2</v>
      </c>
      <c r="E829" s="11">
        <v>0.39950932845583553</v>
      </c>
      <c r="F829" s="11">
        <v>0</v>
      </c>
      <c r="G829" s="11">
        <v>4.6013593673706055E-2</v>
      </c>
      <c r="H829" s="40">
        <v>4.0151613976488921E-4</v>
      </c>
      <c r="I829" s="40">
        <v>1.4587270790992284</v>
      </c>
      <c r="J829" s="59">
        <v>0</v>
      </c>
      <c r="K829" s="59">
        <v>2380.2369832992554</v>
      </c>
      <c r="L829" s="59">
        <v>0</v>
      </c>
      <c r="M829" s="11">
        <v>0.82967543601989746</v>
      </c>
      <c r="N829" s="11">
        <v>0.72510319948196411</v>
      </c>
      <c r="O829" s="11">
        <v>0.28653287887573242</v>
      </c>
      <c r="Q829" s="59">
        <v>14.287330745299487</v>
      </c>
      <c r="R829" s="78">
        <v>442.85885212532696</v>
      </c>
      <c r="S829" s="78">
        <v>14.32286036592942</v>
      </c>
      <c r="T829" s="78">
        <v>598.7201247576221</v>
      </c>
      <c r="U829" s="78">
        <v>3.5529620629933589E-2</v>
      </c>
      <c r="V829" s="78">
        <v>155.86127263229514</v>
      </c>
      <c r="Y829" s="28"/>
      <c r="Z829" s="28"/>
      <c r="AK829" s="28"/>
      <c r="AS829" s="28"/>
      <c r="AT829" s="28"/>
    </row>
    <row r="830" spans="3:46" x14ac:dyDescent="0.15">
      <c r="C830" s="11">
        <v>2.1756440401077271E-2</v>
      </c>
      <c r="D830" s="11">
        <v>2.3111402988433838E-3</v>
      </c>
      <c r="E830" s="11">
        <v>0.26263519007278935</v>
      </c>
      <c r="F830" s="11">
        <v>0</v>
      </c>
      <c r="G830" s="11">
        <v>4.8539042472839355E-2</v>
      </c>
      <c r="H830" s="40">
        <v>4.9250419282029266E-4</v>
      </c>
      <c r="I830" s="40">
        <v>1.5239277147102823</v>
      </c>
      <c r="J830" s="59">
        <v>0</v>
      </c>
      <c r="K830" s="59">
        <v>4454.3948024511337</v>
      </c>
      <c r="L830" s="59">
        <v>0</v>
      </c>
      <c r="M830" s="11">
        <v>0.82606410980224609</v>
      </c>
      <c r="N830" s="11">
        <v>0.69464516639709473</v>
      </c>
      <c r="O830" s="11">
        <v>0.28625756502151489</v>
      </c>
      <c r="Q830" s="59">
        <v>14.187648370774571</v>
      </c>
      <c r="R830" s="78">
        <v>531.47507143296093</v>
      </c>
      <c r="S830" s="78">
        <v>14.250656130438269</v>
      </c>
      <c r="T830" s="78">
        <v>615.80522864965326</v>
      </c>
      <c r="U830" s="78">
        <v>6.3007759663697982E-2</v>
      </c>
      <c r="V830" s="78">
        <v>84.330157216692328</v>
      </c>
      <c r="Y830" s="28"/>
      <c r="Z830" s="28"/>
      <c r="AK830" s="28"/>
      <c r="AS830" s="28"/>
      <c r="AT830" s="28"/>
    </row>
    <row r="831" spans="3:46" x14ac:dyDescent="0.15">
      <c r="C831" s="11">
        <v>3.2410979270935059E-2</v>
      </c>
      <c r="D831" s="11">
        <v>6.9288164377212524E-3</v>
      </c>
      <c r="E831" s="11">
        <v>0.35800578188426813</v>
      </c>
      <c r="F831" s="11">
        <v>0</v>
      </c>
      <c r="G831" s="11">
        <v>5.3904891014099121E-2</v>
      </c>
      <c r="H831" s="40">
        <v>5.0632757294342826E-4</v>
      </c>
      <c r="I831" s="40">
        <v>1.4952363996506837</v>
      </c>
      <c r="J831" s="59">
        <v>0</v>
      </c>
      <c r="K831" s="59">
        <v>6203.9727345108986</v>
      </c>
      <c r="L831" s="59">
        <v>0</v>
      </c>
      <c r="M831" s="11">
        <v>0.83112084865570068</v>
      </c>
      <c r="N831" s="11">
        <v>0.70857691764831543</v>
      </c>
      <c r="O831" s="11">
        <v>0.34949469566345215</v>
      </c>
      <c r="Q831" s="59">
        <v>14.12846974854766</v>
      </c>
      <c r="R831" s="78">
        <v>577.6735675913252</v>
      </c>
      <c r="S831" s="78">
        <v>14.176949122607612</v>
      </c>
      <c r="T831" s="78">
        <v>645.78087445074584</v>
      </c>
      <c r="U831" s="78">
        <v>4.8479374059951397E-2</v>
      </c>
      <c r="V831" s="78">
        <v>68.107306859420646</v>
      </c>
      <c r="Y831" s="28"/>
      <c r="Z831" s="28"/>
      <c r="AK831" s="28"/>
      <c r="AS831" s="28"/>
      <c r="AT831" s="28"/>
    </row>
    <row r="832" spans="3:46" x14ac:dyDescent="0.15">
      <c r="C832" s="11">
        <v>1.1302724480628967E-2</v>
      </c>
      <c r="D832" s="11">
        <v>3.1309545040130615E-2</v>
      </c>
      <c r="E832" s="11">
        <v>0.26820732826044991</v>
      </c>
      <c r="F832" s="11">
        <v>0</v>
      </c>
      <c r="G832" s="11">
        <v>2.135130763053894E-2</v>
      </c>
      <c r="H832" s="40">
        <v>3.9576469700699184E-4</v>
      </c>
      <c r="I832" s="40">
        <v>1.5820664385650274</v>
      </c>
      <c r="J832" s="59">
        <v>0</v>
      </c>
      <c r="K832" s="59">
        <v>5230.1445975899696</v>
      </c>
      <c r="L832" s="59">
        <v>0</v>
      </c>
      <c r="M832" s="11">
        <v>0.8323824405670166</v>
      </c>
      <c r="N832" s="11">
        <v>0.73512077331542969</v>
      </c>
      <c r="O832" s="11">
        <v>0.30684632062911987</v>
      </c>
      <c r="Q832" s="59">
        <v>14.461246662814528</v>
      </c>
      <c r="R832" s="78">
        <v>528.12762409658853</v>
      </c>
      <c r="S832" s="78">
        <v>14.515985219091691</v>
      </c>
      <c r="T832" s="78">
        <v>615.67651946517071</v>
      </c>
      <c r="U832" s="78">
        <v>5.4738556277163397E-2</v>
      </c>
      <c r="V832" s="78">
        <v>87.54889536858218</v>
      </c>
      <c r="Y832" s="28"/>
      <c r="Z832" s="28"/>
      <c r="AK832" s="28"/>
      <c r="AS832" s="28"/>
      <c r="AT832" s="28"/>
    </row>
    <row r="833" spans="3:46" x14ac:dyDescent="0.15">
      <c r="C833" s="11">
        <v>1.0183200240135193E-2</v>
      </c>
      <c r="D833" s="11">
        <v>9.5636695623397827E-3</v>
      </c>
      <c r="E833" s="11">
        <v>0.25742466094494065</v>
      </c>
      <c r="F833" s="11">
        <v>0</v>
      </c>
      <c r="G833" s="11">
        <v>8.0084800720214844E-3</v>
      </c>
      <c r="H833" s="40">
        <v>3.8806257153477545E-4</v>
      </c>
      <c r="I833" s="40">
        <v>1.4657140696452826</v>
      </c>
      <c r="J833" s="59">
        <v>0</v>
      </c>
      <c r="K833" s="59">
        <v>5004.7854892909527</v>
      </c>
      <c r="L833" s="59">
        <v>0</v>
      </c>
      <c r="M833" s="11">
        <v>0.86020955443382263</v>
      </c>
      <c r="N833" s="11">
        <v>0.7722707986831665</v>
      </c>
      <c r="O833" s="11">
        <v>0.32996630668640137</v>
      </c>
      <c r="Q833" s="59">
        <v>14.996414927764055</v>
      </c>
      <c r="R833" s="78">
        <v>477.23845420787131</v>
      </c>
      <c r="S833" s="78">
        <v>15.02835289615687</v>
      </c>
      <c r="T833" s="78">
        <v>600.70955410101033</v>
      </c>
      <c r="U833" s="78">
        <v>3.1937968392814042E-2</v>
      </c>
      <c r="V833" s="78">
        <v>123.47109989313901</v>
      </c>
      <c r="Y833" s="28"/>
      <c r="Z833" s="28"/>
      <c r="AK833" s="28"/>
      <c r="AS833" s="28"/>
      <c r="AT833" s="28"/>
    </row>
    <row r="834" spans="3:46" x14ac:dyDescent="0.15">
      <c r="C834" s="11">
        <v>4.7551095485687256E-3</v>
      </c>
      <c r="D834" s="11">
        <v>1.535545289516449E-2</v>
      </c>
      <c r="E834" s="11">
        <v>0.21174548570949844</v>
      </c>
      <c r="F834" s="11">
        <v>0</v>
      </c>
      <c r="G834" s="11">
        <v>2.5541305541992188E-2</v>
      </c>
      <c r="H834" s="40">
        <v>4.2342723793007227E-4</v>
      </c>
      <c r="I834" s="40">
        <v>1.4097705601517929</v>
      </c>
      <c r="J834" s="59">
        <v>0</v>
      </c>
      <c r="K834" s="59">
        <v>3788.8810038566589</v>
      </c>
      <c r="L834" s="59">
        <v>0</v>
      </c>
      <c r="M834" s="11">
        <v>0.85216966271400452</v>
      </c>
      <c r="N834" s="11">
        <v>0.72582536935806274</v>
      </c>
      <c r="O834" s="11">
        <v>0.31183558702468872</v>
      </c>
      <c r="Q834" s="59">
        <v>14.927335558302573</v>
      </c>
      <c r="R834" s="78">
        <v>459.32850574157703</v>
      </c>
      <c r="S834" s="78">
        <v>14.969313338569791</v>
      </c>
      <c r="T834" s="78">
        <v>593.00266448255911</v>
      </c>
      <c r="U834" s="78">
        <v>4.1977780267217213E-2</v>
      </c>
      <c r="V834" s="78">
        <v>133.67415874098208</v>
      </c>
      <c r="Y834" s="28"/>
      <c r="Z834" s="28"/>
      <c r="AK834" s="28"/>
      <c r="AS834" s="28"/>
      <c r="AT834" s="28"/>
    </row>
    <row r="835" spans="3:46" x14ac:dyDescent="0.15">
      <c r="C835" s="11">
        <v>9.8428279161453247E-3</v>
      </c>
      <c r="D835" s="11">
        <v>1.2884780764579773E-2</v>
      </c>
      <c r="E835" s="11">
        <v>0.19293205748152262</v>
      </c>
      <c r="F835" s="11">
        <v>0</v>
      </c>
      <c r="G835" s="11">
        <v>2.5174945592880249E-2</v>
      </c>
      <c r="H835" s="40">
        <v>3.8646997011548828E-4</v>
      </c>
      <c r="I835" s="40">
        <v>1.5632094968118375</v>
      </c>
      <c r="J835" s="59">
        <v>0</v>
      </c>
      <c r="K835" s="59">
        <v>3817.402757704258</v>
      </c>
      <c r="L835" s="59">
        <v>0</v>
      </c>
      <c r="M835" s="11">
        <v>0.80507862567901611</v>
      </c>
      <c r="N835" s="11">
        <v>0.8254694938659668</v>
      </c>
      <c r="O835" s="11">
        <v>0.29930445551872253</v>
      </c>
      <c r="Q835" s="59">
        <v>14.058691123995629</v>
      </c>
      <c r="R835" s="78">
        <v>486.99753875177839</v>
      </c>
      <c r="S835" s="78">
        <v>14.076255207493334</v>
      </c>
      <c r="T835" s="78">
        <v>597.29428024172989</v>
      </c>
      <c r="U835" s="78">
        <v>1.7564083497704885E-2</v>
      </c>
      <c r="V835" s="78">
        <v>110.2967414899515</v>
      </c>
      <c r="Y835" s="28"/>
      <c r="Z835" s="28"/>
      <c r="AK835" s="28"/>
      <c r="AS835" s="28"/>
      <c r="AT835" s="28"/>
    </row>
    <row r="836" spans="3:46" x14ac:dyDescent="0.15">
      <c r="C836" s="11">
        <v>1.7091512680053711E-2</v>
      </c>
      <c r="D836" s="11">
        <v>7.7550411224365234E-3</v>
      </c>
      <c r="E836" s="11">
        <v>0.12440252502077251</v>
      </c>
      <c r="F836" s="11">
        <v>0</v>
      </c>
      <c r="G836" s="11">
        <v>3.397783637046814E-2</v>
      </c>
      <c r="H836" s="40">
        <v>5.7347779943618053E-4</v>
      </c>
      <c r="I836" s="40">
        <v>1.4878623330151797</v>
      </c>
      <c r="J836" s="59">
        <v>0</v>
      </c>
      <c r="K836" s="59">
        <v>3975.2386510372162</v>
      </c>
      <c r="L836" s="59">
        <v>0</v>
      </c>
      <c r="M836" s="11">
        <v>0.83323007822036743</v>
      </c>
      <c r="N836" s="11">
        <v>0.80313587188720703</v>
      </c>
      <c r="O836" s="11">
        <v>0.24979615211486816</v>
      </c>
      <c r="Q836" s="59">
        <v>14.415615244138136</v>
      </c>
      <c r="R836" s="78">
        <v>513.61651565689124</v>
      </c>
      <c r="S836" s="78">
        <v>14.459782701966217</v>
      </c>
      <c r="T836" s="78">
        <v>594.23819501771914</v>
      </c>
      <c r="U836" s="78">
        <v>4.4167457828081069E-2</v>
      </c>
      <c r="V836" s="78">
        <v>80.621679360827898</v>
      </c>
      <c r="Y836" s="28"/>
      <c r="Z836" s="28"/>
      <c r="AK836" s="28"/>
      <c r="AS836" s="28"/>
      <c r="AT836" s="28"/>
    </row>
    <row r="837" spans="3:46" x14ac:dyDescent="0.15">
      <c r="C837" s="11">
        <v>1.0549679398536682E-2</v>
      </c>
      <c r="D837" s="11">
        <v>1.1103451251983643E-2</v>
      </c>
      <c r="E837" s="11">
        <v>0.41359937397825619</v>
      </c>
      <c r="F837" s="11">
        <v>0</v>
      </c>
      <c r="G837" s="11">
        <v>4.4327884912490845E-2</v>
      </c>
      <c r="H837" s="40">
        <v>3.9823928082864592E-4</v>
      </c>
      <c r="I837" s="40">
        <v>1.6037517613128527</v>
      </c>
      <c r="J837" s="59">
        <v>0</v>
      </c>
      <c r="K837" s="59">
        <v>4953.4044228494167</v>
      </c>
      <c r="L837" s="59">
        <v>0</v>
      </c>
      <c r="M837" s="11">
        <v>0.88734328746795654</v>
      </c>
      <c r="N837" s="11">
        <v>0.73673516511917114</v>
      </c>
      <c r="O837" s="11">
        <v>0.30483567714691162</v>
      </c>
      <c r="Q837" s="59">
        <v>15.405108602200903</v>
      </c>
      <c r="R837" s="78">
        <v>548.19928451014027</v>
      </c>
      <c r="S837" s="78">
        <v>15.464803037607144</v>
      </c>
      <c r="T837" s="78">
        <v>643.82862111605516</v>
      </c>
      <c r="U837" s="78">
        <v>5.9694435406241197E-2</v>
      </c>
      <c r="V837" s="78">
        <v>95.629336605914887</v>
      </c>
      <c r="Y837" s="28"/>
      <c r="Z837" s="28"/>
      <c r="AK837" s="28"/>
      <c r="AS837" s="28"/>
      <c r="AT837" s="28"/>
    </row>
    <row r="838" spans="3:46" x14ac:dyDescent="0.15">
      <c r="C838" s="11">
        <v>6.7679136991500854E-3</v>
      </c>
      <c r="D838" s="11">
        <v>2.3007065057754517E-2</v>
      </c>
      <c r="E838" s="11">
        <v>0.31190303324921664</v>
      </c>
      <c r="F838" s="11">
        <v>0</v>
      </c>
      <c r="G838" s="11">
        <v>2.7701050043106079E-2</v>
      </c>
      <c r="H838" s="40">
        <v>4.2377767980173651E-4</v>
      </c>
      <c r="I838" s="40">
        <v>1.4654179136909584</v>
      </c>
      <c r="J838" s="59">
        <v>0</v>
      </c>
      <c r="K838" s="59">
        <v>3083.888441324234</v>
      </c>
      <c r="L838" s="59">
        <v>0</v>
      </c>
      <c r="M838" s="11">
        <v>0.87482231855392456</v>
      </c>
      <c r="N838" s="11">
        <v>0.77540123462677002</v>
      </c>
      <c r="O838" s="11">
        <v>0.34329128265380859</v>
      </c>
      <c r="Q838" s="59">
        <v>15.290491768309945</v>
      </c>
      <c r="R838" s="78">
        <v>457.02111514362542</v>
      </c>
      <c r="S838" s="78">
        <v>15.329734628677549</v>
      </c>
      <c r="T838" s="78">
        <v>598.91122961246231</v>
      </c>
      <c r="U838" s="78">
        <v>3.9242860367604493E-2</v>
      </c>
      <c r="V838" s="78">
        <v>141.89011446883688</v>
      </c>
      <c r="Y838" s="28"/>
      <c r="Z838" s="28"/>
      <c r="AK838" s="28"/>
      <c r="AS838" s="28"/>
      <c r="AT838" s="28"/>
    </row>
    <row r="839" spans="3:46" x14ac:dyDescent="0.15">
      <c r="C839" s="11">
        <v>6.3649177551269531E-2</v>
      </c>
      <c r="D839" s="11">
        <v>2.8672695159912109E-2</v>
      </c>
      <c r="E839" s="11">
        <v>0.16330293016748548</v>
      </c>
      <c r="F839" s="11">
        <v>0</v>
      </c>
      <c r="G839" s="11">
        <v>1.511085033416748E-2</v>
      </c>
      <c r="H839" s="40">
        <v>5.3685374472194113E-4</v>
      </c>
      <c r="I839" s="40">
        <v>1.4810962658769133</v>
      </c>
      <c r="J839" s="59">
        <v>0</v>
      </c>
      <c r="K839" s="59">
        <v>6743.1246861815453</v>
      </c>
      <c r="L839" s="59">
        <v>0</v>
      </c>
      <c r="M839" s="11">
        <v>0.89994549751281738</v>
      </c>
      <c r="N839" s="11">
        <v>0.80444753170013428</v>
      </c>
      <c r="O839" s="11">
        <v>0.28378444910049438</v>
      </c>
      <c r="Q839" s="59">
        <v>14.810937534928142</v>
      </c>
      <c r="R839" s="78">
        <v>553.11705495999445</v>
      </c>
      <c r="S839" s="78">
        <v>14.872168165795989</v>
      </c>
      <c r="T839" s="78">
        <v>605.54189122358639</v>
      </c>
      <c r="U839" s="78">
        <v>6.1230630867846969E-2</v>
      </c>
      <c r="V839" s="78">
        <v>52.424836263591942</v>
      </c>
      <c r="Y839" s="28"/>
      <c r="Z839" s="28"/>
      <c r="AK839" s="28"/>
      <c r="AS839" s="28"/>
      <c r="AT839" s="28"/>
    </row>
    <row r="840" spans="3:46" x14ac:dyDescent="0.15">
      <c r="C840" s="11">
        <v>7.6317936182022095E-3</v>
      </c>
      <c r="D840" s="11">
        <v>4.230344295501709E-2</v>
      </c>
      <c r="E840" s="11">
        <v>0.23996666163594407</v>
      </c>
      <c r="F840" s="11">
        <v>0</v>
      </c>
      <c r="G840" s="11">
        <v>5.0845146179199219E-3</v>
      </c>
      <c r="H840" s="40">
        <v>4.1532111481804457E-4</v>
      </c>
      <c r="I840" s="40">
        <v>1.5028971839083813</v>
      </c>
      <c r="J840" s="59">
        <v>0</v>
      </c>
      <c r="K840" s="59">
        <v>3025.643527507782</v>
      </c>
      <c r="L840" s="59">
        <v>0</v>
      </c>
      <c r="M840" s="11">
        <v>0.85596883296966553</v>
      </c>
      <c r="N840" s="11">
        <v>0.77361714839935303</v>
      </c>
      <c r="O840" s="11">
        <v>0.32428020238876343</v>
      </c>
      <c r="Q840" s="59">
        <v>14.945505507276964</v>
      </c>
      <c r="R840" s="78">
        <v>452.83637406781372</v>
      </c>
      <c r="S840" s="78">
        <v>14.989763392498542</v>
      </c>
      <c r="T840" s="78">
        <v>593.35161264585827</v>
      </c>
      <c r="U840" s="78">
        <v>4.4257885221577808E-2</v>
      </c>
      <c r="V840" s="78">
        <v>140.51523857804455</v>
      </c>
      <c r="Y840" s="28"/>
      <c r="Z840" s="28"/>
      <c r="AK840" s="28"/>
      <c r="AS840" s="28"/>
      <c r="AT840" s="28"/>
    </row>
    <row r="841" spans="3:46" x14ac:dyDescent="0.15">
      <c r="C841" s="11">
        <v>6.5705329179763794E-3</v>
      </c>
      <c r="D841" s="11">
        <v>3.6014795303344727E-2</v>
      </c>
      <c r="E841" s="11">
        <v>0.3137174076137913</v>
      </c>
      <c r="F841" s="11">
        <v>0</v>
      </c>
      <c r="G841" s="11">
        <v>4.9020648002624512E-2</v>
      </c>
      <c r="H841" s="40">
        <v>4.1774411819562679E-4</v>
      </c>
      <c r="I841" s="40">
        <v>1.5010888840106356</v>
      </c>
      <c r="J841" s="59">
        <v>0</v>
      </c>
      <c r="K841" s="59">
        <v>6259.6332281827927</v>
      </c>
      <c r="L841" s="59">
        <v>0</v>
      </c>
      <c r="M841" s="11">
        <v>0.84945237636566162</v>
      </c>
      <c r="N841" s="11">
        <v>0.76770448684692383</v>
      </c>
      <c r="O841" s="11">
        <v>0.29088997840881348</v>
      </c>
      <c r="Q841" s="59">
        <v>14.83918798950989</v>
      </c>
      <c r="R841" s="78">
        <v>549.15044489806758</v>
      </c>
      <c r="S841" s="78">
        <v>14.884543036755661</v>
      </c>
      <c r="T841" s="78">
        <v>628.36175572133709</v>
      </c>
      <c r="U841" s="78">
        <v>4.5355047245770663E-2</v>
      </c>
      <c r="V841" s="78">
        <v>79.211310823269514</v>
      </c>
      <c r="Y841" s="28"/>
      <c r="Z841" s="28"/>
      <c r="AK841" s="28"/>
      <c r="AS841" s="28"/>
      <c r="AT841" s="28"/>
    </row>
    <row r="842" spans="3:46" x14ac:dyDescent="0.15">
      <c r="C842" s="11">
        <v>1.9699901342391968E-2</v>
      </c>
      <c r="D842" s="11">
        <v>5.3002834320068359E-2</v>
      </c>
      <c r="E842" s="11">
        <v>0.24932305913440064</v>
      </c>
      <c r="F842" s="11">
        <v>0</v>
      </c>
      <c r="G842" s="11">
        <v>4.4065535068511963E-2</v>
      </c>
      <c r="H842" s="40">
        <v>4.4211494959657294E-4</v>
      </c>
      <c r="I842" s="40">
        <v>1.4599323256754395</v>
      </c>
      <c r="J842" s="59">
        <v>0</v>
      </c>
      <c r="K842" s="59">
        <v>6156.0096219182014</v>
      </c>
      <c r="L842" s="59">
        <v>0</v>
      </c>
      <c r="M842" s="11">
        <v>0.83769464492797852</v>
      </c>
      <c r="N842" s="11">
        <v>0.79143863916397095</v>
      </c>
      <c r="O842" s="11">
        <v>0.32553607225418091</v>
      </c>
      <c r="Q842" s="59">
        <v>14.451408930077303</v>
      </c>
      <c r="R842" s="78">
        <v>531.50549787685509</v>
      </c>
      <c r="S842" s="78">
        <v>14.491558244636906</v>
      </c>
      <c r="T842" s="78">
        <v>613.77259955427223</v>
      </c>
      <c r="U842" s="78">
        <v>4.01493145596028E-2</v>
      </c>
      <c r="V842" s="78">
        <v>82.267101677417145</v>
      </c>
      <c r="Y842" s="28"/>
      <c r="Z842" s="28"/>
      <c r="AK842" s="28"/>
      <c r="AS842" s="28"/>
      <c r="AT842" s="28"/>
    </row>
    <row r="843" spans="3:46" x14ac:dyDescent="0.15">
      <c r="C843" s="11">
        <v>6.7706406116485596E-3</v>
      </c>
      <c r="D843" s="11">
        <v>2.1935805678367615E-2</v>
      </c>
      <c r="E843" s="11">
        <v>0.4420977488714134</v>
      </c>
      <c r="F843" s="11">
        <v>0</v>
      </c>
      <c r="G843" s="11">
        <v>3.4904241561889648E-2</v>
      </c>
      <c r="H843" s="40">
        <v>5.4457374213967081E-4</v>
      </c>
      <c r="I843" s="40">
        <v>1.4189072593270529</v>
      </c>
      <c r="J843" s="59">
        <v>0</v>
      </c>
      <c r="K843" s="59">
        <v>5467.771552503109</v>
      </c>
      <c r="L843" s="59">
        <v>0</v>
      </c>
      <c r="M843" s="11">
        <v>0.85584288835525513</v>
      </c>
      <c r="N843" s="11">
        <v>0.65085220336914062</v>
      </c>
      <c r="O843" s="11">
        <v>0.32904350757598877</v>
      </c>
      <c r="Q843" s="59">
        <v>14.916708508651404</v>
      </c>
      <c r="R843" s="78">
        <v>524.01817913492948</v>
      </c>
      <c r="S843" s="78">
        <v>14.970937627707928</v>
      </c>
      <c r="T843" s="78">
        <v>637.13347844723182</v>
      </c>
      <c r="U843" s="78">
        <v>5.4229119056524056E-2</v>
      </c>
      <c r="V843" s="78">
        <v>113.11529931230234</v>
      </c>
      <c r="Y843" s="28"/>
      <c r="Z843" s="28"/>
      <c r="AK843" s="28"/>
      <c r="AS843" s="28"/>
      <c r="AT843" s="28"/>
    </row>
    <row r="844" spans="3:46" x14ac:dyDescent="0.15">
      <c r="C844" s="11">
        <v>3.6815524101257324E-2</v>
      </c>
      <c r="D844" s="11">
        <v>1.0241732001304626E-2</v>
      </c>
      <c r="E844" s="11">
        <v>0.23301424584321617</v>
      </c>
      <c r="F844" s="11">
        <v>0</v>
      </c>
      <c r="G844" s="11">
        <v>2.741888165473938E-2</v>
      </c>
      <c r="H844" s="40">
        <v>4.3494052671807663E-4</v>
      </c>
      <c r="I844" s="40">
        <v>1.4060754560907798</v>
      </c>
      <c r="J844" s="59">
        <v>0</v>
      </c>
      <c r="K844" s="59">
        <v>5702.9491290450096</v>
      </c>
      <c r="L844" s="59">
        <v>0</v>
      </c>
      <c r="M844" s="11">
        <v>0.83335506916046143</v>
      </c>
      <c r="N844" s="11">
        <v>0.77301764488220215</v>
      </c>
      <c r="O844" s="11">
        <v>0.2745087742805481</v>
      </c>
      <c r="Q844" s="59">
        <v>14.142140690086652</v>
      </c>
      <c r="R844" s="78">
        <v>491.8057901590148</v>
      </c>
      <c r="S844" s="78">
        <v>14.169605469194854</v>
      </c>
      <c r="T844" s="78">
        <v>602.06518756210539</v>
      </c>
      <c r="U844" s="78">
        <v>2.7464779108202109E-2</v>
      </c>
      <c r="V844" s="78">
        <v>110.25939740309059</v>
      </c>
      <c r="Y844" s="28"/>
      <c r="Z844" s="28"/>
      <c r="AK844" s="28"/>
      <c r="AS844" s="28"/>
      <c r="AT844" s="28"/>
    </row>
    <row r="845" spans="3:46" x14ac:dyDescent="0.15">
      <c r="C845" s="11">
        <v>1.0010436177253723E-2</v>
      </c>
      <c r="D845" s="11">
        <v>1.1170417070388794E-2</v>
      </c>
      <c r="E845" s="11">
        <v>0.35262531092030175</v>
      </c>
      <c r="F845" s="11">
        <v>0</v>
      </c>
      <c r="G845" s="11">
        <v>1.7446845769882202E-2</v>
      </c>
      <c r="H845" s="40">
        <v>3.7937869939264659E-4</v>
      </c>
      <c r="I845" s="40">
        <v>1.4804738390856635</v>
      </c>
      <c r="J845" s="59">
        <v>0</v>
      </c>
      <c r="K845" s="59">
        <v>8376.92990899086</v>
      </c>
      <c r="L845" s="59">
        <v>0</v>
      </c>
      <c r="M845" s="11">
        <v>0.87841135263442993</v>
      </c>
      <c r="N845" s="11">
        <v>0.73656588792800903</v>
      </c>
      <c r="O845" s="11">
        <v>0.31813153624534607</v>
      </c>
      <c r="Q845" s="59">
        <v>15.298705122997927</v>
      </c>
      <c r="R845" s="78">
        <v>544.93693581367847</v>
      </c>
      <c r="S845" s="78">
        <v>15.338466033821211</v>
      </c>
      <c r="T845" s="78">
        <v>632.8436756895569</v>
      </c>
      <c r="U845" s="78">
        <v>3.976091082328459E-2</v>
      </c>
      <c r="V845" s="78">
        <v>87.906739875878429</v>
      </c>
      <c r="Y845" s="28"/>
      <c r="Z845" s="28"/>
      <c r="AK845" s="28"/>
      <c r="AS845" s="28"/>
      <c r="AT845" s="28"/>
    </row>
    <row r="846" spans="3:46" x14ac:dyDescent="0.15">
      <c r="C846" s="11">
        <v>1.8233776092529297E-2</v>
      </c>
      <c r="D846" s="11">
        <v>1.8973901867866516E-2</v>
      </c>
      <c r="E846" s="11">
        <v>0.27837691536728781</v>
      </c>
      <c r="F846" s="11">
        <v>0</v>
      </c>
      <c r="G846" s="11">
        <v>8.999943733215332E-2</v>
      </c>
      <c r="H846" s="40">
        <v>5.8000838676224486E-4</v>
      </c>
      <c r="I846" s="40">
        <v>1.475293874587233</v>
      </c>
      <c r="J846" s="59">
        <v>0</v>
      </c>
      <c r="K846" s="59">
        <v>5064.0711560845375</v>
      </c>
      <c r="L846" s="59">
        <v>0</v>
      </c>
      <c r="M846" s="11">
        <v>0.87767273187637329</v>
      </c>
      <c r="N846" s="11">
        <v>0.74227768182754517</v>
      </c>
      <c r="O846" s="11">
        <v>0.28408992290496826</v>
      </c>
      <c r="Q846" s="59">
        <v>15.111958688999479</v>
      </c>
      <c r="R846" s="78">
        <v>583.64410691762521</v>
      </c>
      <c r="S846" s="78">
        <v>15.18939047927533</v>
      </c>
      <c r="T846" s="78">
        <v>632.75806124459154</v>
      </c>
      <c r="U846" s="78">
        <v>7.7431790275850787E-2</v>
      </c>
      <c r="V846" s="78">
        <v>49.113954326966336</v>
      </c>
      <c r="Y846" s="28"/>
      <c r="Z846" s="28"/>
      <c r="AK846" s="28"/>
      <c r="AS846" s="28"/>
      <c r="AT846" s="28"/>
    </row>
    <row r="847" spans="3:46" x14ac:dyDescent="0.15">
      <c r="C847" s="11">
        <v>7.4301809072494507E-3</v>
      </c>
      <c r="D847" s="11">
        <v>6.0365676879882812E-2</v>
      </c>
      <c r="E847" s="11">
        <v>0.35478552138630703</v>
      </c>
      <c r="F847" s="11">
        <v>0</v>
      </c>
      <c r="G847" s="11">
        <v>2.3500323295593262E-2</v>
      </c>
      <c r="H847" s="40">
        <v>3.6226862701435082E-4</v>
      </c>
      <c r="I847" s="40">
        <v>1.540252330485699</v>
      </c>
      <c r="J847" s="59">
        <v>0</v>
      </c>
      <c r="K847" s="59">
        <v>5900.4593640565872</v>
      </c>
      <c r="L847" s="59">
        <v>0</v>
      </c>
      <c r="M847" s="11">
        <v>0.8532072901725769</v>
      </c>
      <c r="N847" s="11">
        <v>0.74506950378417969</v>
      </c>
      <c r="O847" s="11">
        <v>0.28409016132354736</v>
      </c>
      <c r="Q847" s="59">
        <v>14.883219718744661</v>
      </c>
      <c r="R847" s="78">
        <v>518.45614691011133</v>
      </c>
      <c r="S847" s="78">
        <v>14.93151691461939</v>
      </c>
      <c r="T847" s="78">
        <v>623.75455592819128</v>
      </c>
      <c r="U847" s="78">
        <v>4.8297195874729582E-2</v>
      </c>
      <c r="V847" s="78">
        <v>105.29840901807995</v>
      </c>
      <c r="Y847" s="28"/>
      <c r="Z847" s="28"/>
      <c r="AK847" s="28"/>
      <c r="AS847" s="28"/>
      <c r="AT847" s="28"/>
    </row>
    <row r="848" spans="3:46" x14ac:dyDescent="0.15">
      <c r="C848" s="11">
        <v>1.8867641687393188E-2</v>
      </c>
      <c r="D848" s="11">
        <v>2.6550650596618652E-2</v>
      </c>
      <c r="E848" s="11">
        <v>0.1619457705733332</v>
      </c>
      <c r="F848" s="11">
        <v>0</v>
      </c>
      <c r="G848" s="11">
        <v>2.9272109270095825E-2</v>
      </c>
      <c r="H848" s="40">
        <v>5.6926053939133296E-4</v>
      </c>
      <c r="I848" s="40">
        <v>1.3663356633852626</v>
      </c>
      <c r="J848" s="59">
        <v>0</v>
      </c>
      <c r="K848" s="59">
        <v>6423.6391335725784</v>
      </c>
      <c r="L848" s="59">
        <v>0</v>
      </c>
      <c r="M848" s="11">
        <v>0.87818032503128052</v>
      </c>
      <c r="N848" s="11">
        <v>0.7261662483215332</v>
      </c>
      <c r="O848" s="11">
        <v>0.29979044198989868</v>
      </c>
      <c r="Q848" s="59">
        <v>15.144616711720499</v>
      </c>
      <c r="R848" s="78">
        <v>525.34326242106124</v>
      </c>
      <c r="S848" s="78">
        <v>15.206863644327875</v>
      </c>
      <c r="T848" s="78">
        <v>600.58991041693355</v>
      </c>
      <c r="U848" s="78">
        <v>6.2246932607376237E-2</v>
      </c>
      <c r="V848" s="78">
        <v>75.246647995872308</v>
      </c>
      <c r="Y848" s="28"/>
      <c r="Z848" s="28"/>
      <c r="AK848" s="28"/>
      <c r="AS848" s="28"/>
      <c r="AT848" s="28"/>
    </row>
    <row r="849" spans="3:46" x14ac:dyDescent="0.15">
      <c r="C849" s="11">
        <v>6.2447637319564819E-3</v>
      </c>
      <c r="D849" s="11">
        <v>2.6868671178817749E-2</v>
      </c>
      <c r="E849" s="11">
        <v>0.15800912682604165</v>
      </c>
      <c r="F849" s="11">
        <v>0</v>
      </c>
      <c r="G849" s="11">
        <v>3.1586050987243652E-2</v>
      </c>
      <c r="H849" s="40">
        <v>5.8958040901665575E-4</v>
      </c>
      <c r="I849" s="40">
        <v>1.4085939589092176</v>
      </c>
      <c r="J849" s="59">
        <v>0</v>
      </c>
      <c r="K849" s="59">
        <v>4475.5940325558186</v>
      </c>
      <c r="L849" s="59">
        <v>0</v>
      </c>
      <c r="M849" s="11">
        <v>0.84931814670562744</v>
      </c>
      <c r="N849" s="11">
        <v>0.72354769706726074</v>
      </c>
      <c r="O849" s="11">
        <v>0.32309454679489136</v>
      </c>
      <c r="Q849" s="59">
        <v>14.83094234450523</v>
      </c>
      <c r="R849" s="78">
        <v>503.65998979171354</v>
      </c>
      <c r="S849" s="78">
        <v>14.895837606801036</v>
      </c>
      <c r="T849" s="78">
        <v>596.64020581455645</v>
      </c>
      <c r="U849" s="78">
        <v>6.4895262295806333E-2</v>
      </c>
      <c r="V849" s="78">
        <v>92.98021602284291</v>
      </c>
      <c r="Y849" s="28"/>
      <c r="Z849" s="28"/>
      <c r="AK849" s="28"/>
      <c r="AS849" s="28"/>
      <c r="AT849" s="28"/>
    </row>
    <row r="850" spans="3:46" x14ac:dyDescent="0.15">
      <c r="C850" s="11">
        <v>3.6936759948730469E-2</v>
      </c>
      <c r="D850" s="11">
        <v>3.0355215072631836E-2</v>
      </c>
      <c r="E850" s="11">
        <v>0.16002140064323975</v>
      </c>
      <c r="F850" s="11">
        <v>0</v>
      </c>
      <c r="G850" s="11">
        <v>7.6963663101196289E-2</v>
      </c>
      <c r="H850" s="40">
        <v>6.4707159357025592E-4</v>
      </c>
      <c r="I850" s="40">
        <v>1.323836728397322</v>
      </c>
      <c r="J850" s="59">
        <v>0</v>
      </c>
      <c r="K850" s="59">
        <v>4762.7626918256283</v>
      </c>
      <c r="L850" s="59">
        <v>0</v>
      </c>
      <c r="M850" s="11">
        <v>0.87318342924118042</v>
      </c>
      <c r="N850" s="11">
        <v>0.80605733394622803</v>
      </c>
      <c r="O850" s="11">
        <v>0.28660464286804199</v>
      </c>
      <c r="Q850" s="59">
        <v>14.794454279280561</v>
      </c>
      <c r="R850" s="78">
        <v>513.89096280268188</v>
      </c>
      <c r="S850" s="78">
        <v>14.844184046873172</v>
      </c>
      <c r="T850" s="78">
        <v>598.4576339404075</v>
      </c>
      <c r="U850" s="78">
        <v>4.9729767592610941E-2</v>
      </c>
      <c r="V850" s="78">
        <v>84.566671137725621</v>
      </c>
      <c r="Y850" s="28"/>
      <c r="Z850" s="28"/>
      <c r="AK850" s="28"/>
      <c r="AS850" s="28"/>
      <c r="AT850" s="28"/>
    </row>
    <row r="851" spans="3:46" x14ac:dyDescent="0.15">
      <c r="C851" s="11">
        <v>1.3851389288902283E-2</v>
      </c>
      <c r="D851" s="11">
        <v>8.2323849201202393E-3</v>
      </c>
      <c r="E851" s="11">
        <v>0.19789494801314417</v>
      </c>
      <c r="F851" s="11">
        <v>0</v>
      </c>
      <c r="G851" s="11">
        <v>4.0460318326950073E-2</v>
      </c>
      <c r="H851" s="40">
        <v>6.2735868934797687E-4</v>
      </c>
      <c r="I851" s="40">
        <v>1.425972651060772</v>
      </c>
      <c r="J851" s="59">
        <v>0</v>
      </c>
      <c r="K851" s="59">
        <v>5696.9025172293186</v>
      </c>
      <c r="L851" s="59">
        <v>0</v>
      </c>
      <c r="M851" s="11">
        <v>0.88756644725799561</v>
      </c>
      <c r="N851" s="11">
        <v>0.70722460746765137</v>
      </c>
      <c r="O851" s="11">
        <v>0.3410496711730957</v>
      </c>
      <c r="Q851" s="59">
        <v>15.358001685678529</v>
      </c>
      <c r="R851" s="78">
        <v>556.83153962450422</v>
      </c>
      <c r="S851" s="78">
        <v>15.439728099587718</v>
      </c>
      <c r="T851" s="78">
        <v>611.84353974819555</v>
      </c>
      <c r="U851" s="78">
        <v>8.1726413909189333E-2</v>
      </c>
      <c r="V851" s="78">
        <v>55.012000123691337</v>
      </c>
      <c r="Y851" s="28"/>
      <c r="Z851" s="28"/>
      <c r="AK851" s="28"/>
      <c r="AS851" s="28"/>
      <c r="AT851" s="28"/>
    </row>
    <row r="852" spans="3:46" x14ac:dyDescent="0.15">
      <c r="C852" s="11">
        <v>1.0625496506690979E-2</v>
      </c>
      <c r="D852" s="11">
        <v>1.3849541544914246E-2</v>
      </c>
      <c r="E852" s="11">
        <v>0.30450039184263139</v>
      </c>
      <c r="F852" s="11">
        <v>0</v>
      </c>
      <c r="G852" s="11">
        <v>2.9059886932373047E-2</v>
      </c>
      <c r="H852" s="40">
        <v>3.8144673105606439E-4</v>
      </c>
      <c r="I852" s="40">
        <v>1.4466059777019524</v>
      </c>
      <c r="J852" s="59">
        <v>0</v>
      </c>
      <c r="K852" s="59">
        <v>2333.1493139266968</v>
      </c>
      <c r="L852" s="59">
        <v>0</v>
      </c>
      <c r="M852" s="11">
        <v>0.81189119815826416</v>
      </c>
      <c r="N852" s="11">
        <v>0.73080587387084961</v>
      </c>
      <c r="O852" s="11">
        <v>0.32655942440032959</v>
      </c>
      <c r="Q852" s="59">
        <v>14.14821819852617</v>
      </c>
      <c r="R852" s="78">
        <v>434.94669807131527</v>
      </c>
      <c r="S852" s="78">
        <v>14.176093556055223</v>
      </c>
      <c r="T852" s="78">
        <v>591.60578914242546</v>
      </c>
      <c r="U852" s="78">
        <v>2.7875357529053346E-2</v>
      </c>
      <c r="V852" s="78">
        <v>156.6590910711102</v>
      </c>
      <c r="Y852" s="28"/>
      <c r="Z852" s="28"/>
      <c r="AK852" s="28"/>
      <c r="AS852" s="28"/>
      <c r="AT852" s="28"/>
    </row>
    <row r="853" spans="3:46" x14ac:dyDescent="0.15">
      <c r="C853" s="11">
        <v>1.8918663263320923E-2</v>
      </c>
      <c r="D853" s="11">
        <v>9.5839947462081909E-3</v>
      </c>
      <c r="E853" s="11">
        <v>0.1941154696501452</v>
      </c>
      <c r="F853" s="11">
        <v>0</v>
      </c>
      <c r="G853" s="11">
        <v>3.4671574831008911E-2</v>
      </c>
      <c r="H853" s="40">
        <v>4.8323905483620833E-4</v>
      </c>
      <c r="I853" s="40">
        <v>1.5219407394822415</v>
      </c>
      <c r="J853" s="59">
        <v>0</v>
      </c>
      <c r="K853" s="59">
        <v>4998.4385259449482</v>
      </c>
      <c r="L853" s="59">
        <v>0</v>
      </c>
      <c r="M853" s="11">
        <v>0.83114802837371826</v>
      </c>
      <c r="N853" s="11">
        <v>0.714191734790802</v>
      </c>
      <c r="O853" s="11">
        <v>0.34976756572723389</v>
      </c>
      <c r="Q853" s="59">
        <v>14.327309839707496</v>
      </c>
      <c r="R853" s="78">
        <v>534.49086550886057</v>
      </c>
      <c r="S853" s="78">
        <v>14.388194167976229</v>
      </c>
      <c r="T853" s="78">
        <v>606.84298019352457</v>
      </c>
      <c r="U853" s="78">
        <v>6.0884328268732801E-2</v>
      </c>
      <c r="V853" s="78">
        <v>72.352114684664002</v>
      </c>
      <c r="Y853" s="28"/>
      <c r="Z853" s="28"/>
      <c r="AK853" s="28"/>
      <c r="AS853" s="28"/>
      <c r="AT853" s="28"/>
    </row>
    <row r="854" spans="3:46" x14ac:dyDescent="0.15">
      <c r="C854" s="11">
        <v>6.2432289123535156E-2</v>
      </c>
      <c r="D854" s="11">
        <v>1.4374151825904846E-2</v>
      </c>
      <c r="E854" s="11">
        <v>0.21267589891639641</v>
      </c>
      <c r="F854" s="11">
        <v>0</v>
      </c>
      <c r="G854" s="11">
        <v>4.1786283254623413E-2</v>
      </c>
      <c r="H854" s="40">
        <v>6.3928872561555756E-4</v>
      </c>
      <c r="I854" s="40">
        <v>1.3226540742235742</v>
      </c>
      <c r="J854" s="59">
        <v>0</v>
      </c>
      <c r="K854" s="59">
        <v>3233.0350950360298</v>
      </c>
      <c r="L854" s="59">
        <v>0</v>
      </c>
      <c r="M854" s="11">
        <v>0.84624934196472168</v>
      </c>
      <c r="N854" s="11">
        <v>0.7932746410369873</v>
      </c>
      <c r="O854" s="11">
        <v>0.25942146778106689</v>
      </c>
      <c r="Q854" s="59">
        <v>13.972280966458195</v>
      </c>
      <c r="R854" s="78">
        <v>460.96445613094477</v>
      </c>
      <c r="S854" s="78">
        <v>14.005428838297293</v>
      </c>
      <c r="T854" s="78">
        <v>593.43294021914596</v>
      </c>
      <c r="U854" s="78">
        <v>3.3147871839098286E-2</v>
      </c>
      <c r="V854" s="78">
        <v>132.46848408820119</v>
      </c>
      <c r="Y854" s="28"/>
      <c r="Z854" s="28"/>
      <c r="AK854" s="28"/>
      <c r="AS854" s="28"/>
      <c r="AT854" s="28"/>
    </row>
    <row r="855" spans="3:46" x14ac:dyDescent="0.15">
      <c r="C855" s="11">
        <v>3.5448074340820312E-2</v>
      </c>
      <c r="D855" s="11">
        <v>4.2869210243225098E-2</v>
      </c>
      <c r="E855" s="11">
        <v>0.41244048987129128</v>
      </c>
      <c r="F855" s="11">
        <v>0</v>
      </c>
      <c r="G855" s="11">
        <v>1.1104464530944824E-2</v>
      </c>
      <c r="H855" s="40">
        <v>3.5760319793412662E-4</v>
      </c>
      <c r="I855" s="40">
        <v>1.5058449690229445</v>
      </c>
      <c r="J855" s="59">
        <v>0</v>
      </c>
      <c r="K855" s="59">
        <v>6999.545730650425</v>
      </c>
      <c r="L855" s="59">
        <v>0</v>
      </c>
      <c r="M855" s="11">
        <v>0.88351351022720337</v>
      </c>
      <c r="N855" s="11">
        <v>0.73849225044250488</v>
      </c>
      <c r="O855" s="11">
        <v>0.30354547500610352</v>
      </c>
      <c r="Q855" s="59">
        <v>14.983397237878354</v>
      </c>
      <c r="R855" s="78">
        <v>513.6768396340459</v>
      </c>
      <c r="S855" s="78">
        <v>15.023829320169783</v>
      </c>
      <c r="T855" s="78">
        <v>628.90105314629545</v>
      </c>
      <c r="U855" s="78">
        <v>4.0432082291429694E-2</v>
      </c>
      <c r="V855" s="78">
        <v>115.22421351224955</v>
      </c>
      <c r="Y855" s="28"/>
      <c r="Z855" s="28"/>
      <c r="AK855" s="28"/>
      <c r="AS855" s="28"/>
      <c r="AT855" s="28"/>
    </row>
    <row r="856" spans="3:46" x14ac:dyDescent="0.15">
      <c r="C856" s="11">
        <v>1.2654051184654236E-2</v>
      </c>
      <c r="D856" s="11">
        <v>7.2843432426452637E-3</v>
      </c>
      <c r="E856" s="11">
        <v>0.27475371444882229</v>
      </c>
      <c r="F856" s="11">
        <v>0</v>
      </c>
      <c r="G856" s="11">
        <v>2.4917453527450562E-2</v>
      </c>
      <c r="H856" s="40">
        <v>4.0253107776080628E-4</v>
      </c>
      <c r="I856" s="40">
        <v>1.5214027488330051</v>
      </c>
      <c r="J856" s="59">
        <v>0</v>
      </c>
      <c r="K856" s="59">
        <v>4816.7654313147068</v>
      </c>
      <c r="L856" s="59">
        <v>0</v>
      </c>
      <c r="M856" s="11">
        <v>0.90684747695922852</v>
      </c>
      <c r="N856" s="11">
        <v>0.79236376285552979</v>
      </c>
      <c r="O856" s="11">
        <v>0.30351805686950684</v>
      </c>
      <c r="Q856" s="59">
        <v>15.748706542641081</v>
      </c>
      <c r="R856" s="78">
        <v>501.92011456325525</v>
      </c>
      <c r="S856" s="78">
        <v>15.796793182303984</v>
      </c>
      <c r="T856" s="78">
        <v>609.12094119569861</v>
      </c>
      <c r="U856" s="78">
        <v>4.8086639662903607E-2</v>
      </c>
      <c r="V856" s="78">
        <v>107.20082663244335</v>
      </c>
      <c r="Y856" s="28"/>
      <c r="Z856" s="28"/>
      <c r="AK856" s="28"/>
      <c r="AS856" s="28"/>
      <c r="AT856" s="28"/>
    </row>
    <row r="857" spans="3:46" x14ac:dyDescent="0.15">
      <c r="C857" s="11">
        <v>9.4053298234939575E-3</v>
      </c>
      <c r="D857" s="11">
        <v>1.1430457234382629E-2</v>
      </c>
      <c r="E857" s="11">
        <v>0.47801966076136676</v>
      </c>
      <c r="F857" s="11">
        <v>0</v>
      </c>
      <c r="G857" s="11">
        <v>3.3560007810592651E-2</v>
      </c>
      <c r="H857" s="40">
        <v>4.8986528232122881E-4</v>
      </c>
      <c r="I857" s="40">
        <v>1.4099873175855298</v>
      </c>
      <c r="J857" s="59">
        <v>0</v>
      </c>
      <c r="K857" s="59">
        <v>3859.4217039644718</v>
      </c>
      <c r="L857" s="59">
        <v>0</v>
      </c>
      <c r="M857" s="11">
        <v>0.79238390922546387</v>
      </c>
      <c r="N857" s="11">
        <v>0.81503701210021973</v>
      </c>
      <c r="O857" s="11">
        <v>0.29866740107536316</v>
      </c>
      <c r="Q857" s="59">
        <v>13.84775900766734</v>
      </c>
      <c r="R857" s="78">
        <v>474.03952206282872</v>
      </c>
      <c r="S857" s="78">
        <v>13.856494851689515</v>
      </c>
      <c r="T857" s="78">
        <v>617.61535270098193</v>
      </c>
      <c r="U857" s="78">
        <v>8.7358440221745326E-3</v>
      </c>
      <c r="V857" s="78">
        <v>143.57583063815321</v>
      </c>
      <c r="Y857" s="28"/>
      <c r="Z857" s="28"/>
      <c r="AK857" s="28"/>
      <c r="AS857" s="28"/>
      <c r="AT857" s="28"/>
    </row>
    <row r="858" spans="3:46" x14ac:dyDescent="0.15">
      <c r="C858" s="11">
        <v>3.1142890453338623E-2</v>
      </c>
      <c r="D858" s="11">
        <v>1.6055986285209656E-2</v>
      </c>
      <c r="E858" s="11">
        <v>0.33864757297531067</v>
      </c>
      <c r="F858" s="11">
        <v>0</v>
      </c>
      <c r="G858" s="11">
        <v>1.4752596616744995E-2</v>
      </c>
      <c r="H858" s="40">
        <v>3.5351264411189983E-4</v>
      </c>
      <c r="I858" s="40">
        <v>1.5024464852626795</v>
      </c>
      <c r="J858" s="59">
        <v>0</v>
      </c>
      <c r="K858" s="59">
        <v>5531.9280363619328</v>
      </c>
      <c r="L858" s="59">
        <v>0</v>
      </c>
      <c r="M858" s="11">
        <v>0.85049676895141602</v>
      </c>
      <c r="N858" s="11">
        <v>0.76701450347900391</v>
      </c>
      <c r="O858" s="11">
        <v>0.29587799310684204</v>
      </c>
      <c r="Q858" s="59">
        <v>14.509820548867866</v>
      </c>
      <c r="R858" s="78">
        <v>489.35612414765302</v>
      </c>
      <c r="S858" s="78">
        <v>14.539461522808047</v>
      </c>
      <c r="T858" s="78">
        <v>611.68008717465648</v>
      </c>
      <c r="U858" s="78">
        <v>2.9640973940180615E-2</v>
      </c>
      <c r="V858" s="78">
        <v>122.32396302700346</v>
      </c>
      <c r="Y858" s="28"/>
      <c r="Z858" s="28"/>
      <c r="AK858" s="28"/>
      <c r="AS858" s="28"/>
      <c r="AT858" s="28"/>
    </row>
    <row r="859" spans="3:46" x14ac:dyDescent="0.15">
      <c r="C859" s="11">
        <v>1.9070804119110107E-3</v>
      </c>
      <c r="D859" s="11">
        <v>1.7443716526031494E-2</v>
      </c>
      <c r="E859" s="11">
        <v>0.2148139309700797</v>
      </c>
      <c r="F859" s="11">
        <v>0</v>
      </c>
      <c r="G859" s="11">
        <v>1.7344504594802856E-2</v>
      </c>
      <c r="H859" s="40">
        <v>5.4267472775431031E-4</v>
      </c>
      <c r="I859" s="40">
        <v>1.4329755126142967</v>
      </c>
      <c r="J859" s="59">
        <v>0</v>
      </c>
      <c r="K859" s="59">
        <v>7609.9485158920288</v>
      </c>
      <c r="L859" s="59">
        <v>0</v>
      </c>
      <c r="M859" s="11">
        <v>0.89589953422546387</v>
      </c>
      <c r="N859" s="11">
        <v>0.77258092164993286</v>
      </c>
      <c r="O859" s="11">
        <v>0.3002701997756958</v>
      </c>
      <c r="Q859" s="59">
        <v>15.720484013660872</v>
      </c>
      <c r="R859" s="78">
        <v>564.98583292262265</v>
      </c>
      <c r="S859" s="78">
        <v>15.778378393180667</v>
      </c>
      <c r="T859" s="78">
        <v>616.3594401383076</v>
      </c>
      <c r="U859" s="78">
        <v>5.789437951979437E-2</v>
      </c>
      <c r="V859" s="78">
        <v>51.373607215684956</v>
      </c>
      <c r="Y859" s="28"/>
      <c r="Z859" s="28"/>
      <c r="AK859" s="28"/>
      <c r="AS859" s="28"/>
      <c r="AT859" s="28"/>
    </row>
    <row r="860" spans="3:46" x14ac:dyDescent="0.15">
      <c r="C860" s="11">
        <v>3.3093571662902832E-2</v>
      </c>
      <c r="D860" s="11">
        <v>1.7264723777770996E-2</v>
      </c>
      <c r="E860" s="11">
        <v>0.32119081588515425</v>
      </c>
      <c r="F860" s="11">
        <v>0</v>
      </c>
      <c r="G860" s="11">
        <v>1.465645432472229E-2</v>
      </c>
      <c r="H860" s="40">
        <v>4.0862767864259048E-4</v>
      </c>
      <c r="I860" s="40">
        <v>1.4542951399652559</v>
      </c>
      <c r="J860" s="59">
        <v>0</v>
      </c>
      <c r="K860" s="59">
        <v>5275.4860371351242</v>
      </c>
      <c r="L860" s="59">
        <v>0</v>
      </c>
      <c r="M860" s="11">
        <v>0.86209896206855774</v>
      </c>
      <c r="N860" s="11">
        <v>0.73472440242767334</v>
      </c>
      <c r="O860" s="11">
        <v>0.27541345357894897</v>
      </c>
      <c r="Q860" s="59">
        <v>14.665697829973487</v>
      </c>
      <c r="R860" s="78">
        <v>484.95195943049879</v>
      </c>
      <c r="S860" s="78">
        <v>14.704891414762214</v>
      </c>
      <c r="T860" s="78">
        <v>608.56479876977573</v>
      </c>
      <c r="U860" s="78">
        <v>3.919358478872681E-2</v>
      </c>
      <c r="V860" s="78">
        <v>123.61283933927695</v>
      </c>
      <c r="Y860" s="28"/>
      <c r="Z860" s="28"/>
      <c r="AK860" s="28"/>
      <c r="AS860" s="28"/>
      <c r="AT860" s="28"/>
    </row>
    <row r="861" spans="3:46" x14ac:dyDescent="0.15">
      <c r="C861" s="11">
        <v>2.7567505836486816E-2</v>
      </c>
      <c r="D861" s="11">
        <v>3.1254291534423828E-2</v>
      </c>
      <c r="E861" s="11">
        <v>0.16549269429176441</v>
      </c>
      <c r="F861" s="11">
        <v>0</v>
      </c>
      <c r="G861" s="11">
        <v>1.9452393054962158E-2</v>
      </c>
      <c r="H861" s="40">
        <v>5.3753887990671113E-4</v>
      </c>
      <c r="I861" s="40">
        <v>1.3784158553474108</v>
      </c>
      <c r="J861" s="59">
        <v>0</v>
      </c>
      <c r="K861" s="59">
        <v>4297.792911529541</v>
      </c>
      <c r="L861" s="59">
        <v>0</v>
      </c>
      <c r="M861" s="11">
        <v>0.81617045402526855</v>
      </c>
      <c r="N861" s="11">
        <v>0.72438764572143555</v>
      </c>
      <c r="O861" s="11">
        <v>0.32481843233108521</v>
      </c>
      <c r="Q861" s="59">
        <v>13.967452176735131</v>
      </c>
      <c r="R861" s="78">
        <v>474.52503673102734</v>
      </c>
      <c r="S861" s="78">
        <v>14.010378376428974</v>
      </c>
      <c r="T861" s="78">
        <v>592.5247779392123</v>
      </c>
      <c r="U861" s="78">
        <v>4.2926199693843259E-2</v>
      </c>
      <c r="V861" s="78">
        <v>117.99974120818496</v>
      </c>
      <c r="Y861" s="28"/>
      <c r="Z861" s="28"/>
      <c r="AK861" s="28"/>
      <c r="AS861" s="28"/>
      <c r="AT861" s="28"/>
    </row>
    <row r="862" spans="3:46" x14ac:dyDescent="0.15">
      <c r="C862" s="11">
        <v>1.5333950519561768E-2</v>
      </c>
      <c r="D862" s="11">
        <v>1.8145263195037842E-2</v>
      </c>
      <c r="E862" s="11">
        <v>0.17391188674708064</v>
      </c>
      <c r="F862" s="11">
        <v>0</v>
      </c>
      <c r="G862" s="11">
        <v>3.0027091503143311E-2</v>
      </c>
      <c r="H862" s="40">
        <v>4.7092510066152547E-4</v>
      </c>
      <c r="I862" s="40">
        <v>1.4236867830292443</v>
      </c>
      <c r="J862" s="59">
        <v>0</v>
      </c>
      <c r="K862" s="59">
        <v>5337.4003618955612</v>
      </c>
      <c r="L862" s="59">
        <v>0</v>
      </c>
      <c r="M862" s="11">
        <v>0.84671443700790405</v>
      </c>
      <c r="N862" s="11">
        <v>0.76378369331359863</v>
      </c>
      <c r="O862" s="11">
        <v>0.25530743598937988</v>
      </c>
      <c r="Q862" s="59">
        <v>14.67440655871127</v>
      </c>
      <c r="R862" s="78">
        <v>501.83955665078747</v>
      </c>
      <c r="S862" s="78">
        <v>14.717423099506609</v>
      </c>
      <c r="T862" s="78">
        <v>598.03474533515123</v>
      </c>
      <c r="U862" s="78">
        <v>4.3016540795338898E-2</v>
      </c>
      <c r="V862" s="78">
        <v>96.195188684363757</v>
      </c>
      <c r="Y862" s="28"/>
      <c r="Z862" s="28"/>
      <c r="AK862" s="28"/>
      <c r="AS862" s="28"/>
      <c r="AT862" s="28"/>
    </row>
    <row r="863" spans="3:46" x14ac:dyDescent="0.15">
      <c r="C863" s="11">
        <v>8.7115466594696045E-3</v>
      </c>
      <c r="D863" s="11">
        <v>1.1203810572624207E-2</v>
      </c>
      <c r="E863" s="11">
        <v>0.24180582511817686</v>
      </c>
      <c r="F863" s="11">
        <v>0</v>
      </c>
      <c r="G863" s="11">
        <v>2.4107873439788818E-2</v>
      </c>
      <c r="H863" s="40">
        <v>4.9305856909152553E-4</v>
      </c>
      <c r="I863" s="40">
        <v>1.5138392053829544</v>
      </c>
      <c r="J863" s="59">
        <v>0</v>
      </c>
      <c r="K863" s="59">
        <v>5353.058222681284</v>
      </c>
      <c r="L863" s="59">
        <v>0</v>
      </c>
      <c r="M863" s="11">
        <v>0.85652631521224976</v>
      </c>
      <c r="N863" s="11">
        <v>0.73691076040267944</v>
      </c>
      <c r="O863" s="11">
        <v>0.32920050621032715</v>
      </c>
      <c r="Q863" s="59">
        <v>14.918554281419569</v>
      </c>
      <c r="R863" s="78">
        <v>536.88464153293864</v>
      </c>
      <c r="S863" s="78">
        <v>14.977992660833957</v>
      </c>
      <c r="T863" s="78">
        <v>614.23315727516297</v>
      </c>
      <c r="U863" s="78">
        <v>5.943837941438801E-2</v>
      </c>
      <c r="V863" s="78">
        <v>77.348515742224322</v>
      </c>
      <c r="Y863" s="28"/>
      <c r="Z863" s="28"/>
      <c r="AK863" s="28"/>
      <c r="AS863" s="28"/>
      <c r="AT863" s="28"/>
    </row>
    <row r="864" spans="3:46" x14ac:dyDescent="0.15">
      <c r="C864" s="11">
        <v>4.5463442802429199E-2</v>
      </c>
      <c r="D864" s="11">
        <v>1.2453019618988037E-2</v>
      </c>
      <c r="E864" s="11">
        <v>0.51203964038312366</v>
      </c>
      <c r="F864" s="11">
        <v>0</v>
      </c>
      <c r="G864" s="11">
        <v>3.3604949712753296E-2</v>
      </c>
      <c r="H864" s="40">
        <v>4.688937596869684E-4</v>
      </c>
      <c r="I864" s="40">
        <v>1.4316592147515748</v>
      </c>
      <c r="J864" s="59">
        <v>0</v>
      </c>
      <c r="K864" s="59">
        <v>8501.8575191497803</v>
      </c>
      <c r="L864" s="59">
        <v>0</v>
      </c>
      <c r="M864" s="11">
        <v>0.87101370096206665</v>
      </c>
      <c r="N864" s="11">
        <v>0.75635010004043579</v>
      </c>
      <c r="O864" s="11">
        <v>0.30772197246551514</v>
      </c>
      <c r="Q864" s="59">
        <v>14.627260247185211</v>
      </c>
      <c r="R864" s="78">
        <v>567.20674053304231</v>
      </c>
      <c r="S864" s="78">
        <v>14.655493387400336</v>
      </c>
      <c r="T864" s="78">
        <v>668.48204154879591</v>
      </c>
      <c r="U864" s="78">
        <v>2.8233140215125019E-2</v>
      </c>
      <c r="V864" s="78">
        <v>101.2753010157536</v>
      </c>
      <c r="Y864" s="28"/>
      <c r="Z864" s="28"/>
      <c r="AK864" s="28"/>
      <c r="AS864" s="28"/>
      <c r="AT864" s="28"/>
    </row>
    <row r="865" spans="3:46" x14ac:dyDescent="0.15">
      <c r="C865" s="11">
        <v>2.24742591381073E-2</v>
      </c>
      <c r="D865" s="11">
        <v>1.1246964335441589E-2</v>
      </c>
      <c r="E865" s="11">
        <v>0.2869439524116274</v>
      </c>
      <c r="F865" s="11">
        <v>0</v>
      </c>
      <c r="G865" s="11">
        <v>2.9394477605819702E-2</v>
      </c>
      <c r="H865" s="40">
        <v>5.6497621428501152E-4</v>
      </c>
      <c r="I865" s="40">
        <v>1.4064013457217714</v>
      </c>
      <c r="J865" s="59">
        <v>0</v>
      </c>
      <c r="K865" s="59">
        <v>6413.2735133171082</v>
      </c>
      <c r="L865" s="59">
        <v>0</v>
      </c>
      <c r="M865" s="11">
        <v>0.8863634467124939</v>
      </c>
      <c r="N865" s="11">
        <v>0.73186826705932617</v>
      </c>
      <c r="O865" s="11">
        <v>0.2705656886100769</v>
      </c>
      <c r="Q865" s="59">
        <v>15.223661940476825</v>
      </c>
      <c r="R865" s="78">
        <v>540.04747913134122</v>
      </c>
      <c r="S865" s="78">
        <v>15.280910227671185</v>
      </c>
      <c r="T865" s="78">
        <v>621.51654650407158</v>
      </c>
      <c r="U865" s="78">
        <v>5.7248287194360259E-2</v>
      </c>
      <c r="V865" s="78">
        <v>81.469067372730365</v>
      </c>
      <c r="Y865" s="28"/>
      <c r="Z865" s="28"/>
      <c r="AK865" s="28"/>
      <c r="AS865" s="28"/>
      <c r="AT865" s="28"/>
    </row>
    <row r="866" spans="3:46" x14ac:dyDescent="0.15">
      <c r="C866" s="11">
        <v>3.0978620052337646E-3</v>
      </c>
      <c r="D866" s="11">
        <v>3.5690426826477051E-2</v>
      </c>
      <c r="E866" s="11">
        <v>0.26989272110724655</v>
      </c>
      <c r="F866" s="11">
        <v>0</v>
      </c>
      <c r="G866" s="11">
        <v>5.3715944290161133E-2</v>
      </c>
      <c r="H866" s="40">
        <v>3.931227583797792E-4</v>
      </c>
      <c r="I866" s="40">
        <v>1.5236262072607769</v>
      </c>
      <c r="J866" s="59">
        <v>0</v>
      </c>
      <c r="K866" s="59">
        <v>2460.0140750408173</v>
      </c>
      <c r="L866" s="59">
        <v>0</v>
      </c>
      <c r="M866" s="11">
        <v>0.85982972383499146</v>
      </c>
      <c r="N866" s="11">
        <v>0.69366765022277832</v>
      </c>
      <c r="O866" s="11">
        <v>0.28224736452102661</v>
      </c>
      <c r="Q866" s="59">
        <v>15.04578063368556</v>
      </c>
      <c r="R866" s="78">
        <v>456.82815152988547</v>
      </c>
      <c r="S866" s="78">
        <v>15.11457419842646</v>
      </c>
      <c r="T866" s="78">
        <v>596.21587791028116</v>
      </c>
      <c r="U866" s="78">
        <v>6.8793564740900592E-2</v>
      </c>
      <c r="V866" s="78">
        <v>139.38772638039569</v>
      </c>
      <c r="Y866" s="28"/>
      <c r="Z866" s="28"/>
      <c r="AK866" s="28"/>
      <c r="AS866" s="28"/>
      <c r="AT866" s="28"/>
    </row>
    <row r="867" spans="3:46" x14ac:dyDescent="0.15">
      <c r="C867" s="11">
        <v>1.282598078250885E-2</v>
      </c>
      <c r="D867" s="11">
        <v>2.764970064163208E-3</v>
      </c>
      <c r="E867" s="11">
        <v>0.35432978210433208</v>
      </c>
      <c r="F867" s="11">
        <v>0</v>
      </c>
      <c r="G867" s="11">
        <v>3.3330768346786499E-2</v>
      </c>
      <c r="H867" s="40">
        <v>4.2046605023156965E-4</v>
      </c>
      <c r="I867" s="40">
        <v>1.4904292372023609</v>
      </c>
      <c r="J867" s="59">
        <v>0</v>
      </c>
      <c r="K867" s="59">
        <v>3394.5823088288307</v>
      </c>
      <c r="L867" s="59">
        <v>0</v>
      </c>
      <c r="M867" s="11">
        <v>0.80848217010498047</v>
      </c>
      <c r="N867" s="11">
        <v>0.77924650907516479</v>
      </c>
      <c r="O867" s="11">
        <v>0.31733596324920654</v>
      </c>
      <c r="Q867" s="59">
        <v>14.065724395104498</v>
      </c>
      <c r="R867" s="78">
        <v>470.14109637042088</v>
      </c>
      <c r="S867" s="78">
        <v>14.086072191191251</v>
      </c>
      <c r="T867" s="78">
        <v>606.33153634526775</v>
      </c>
      <c r="U867" s="78">
        <v>2.0347796086753078E-2</v>
      </c>
      <c r="V867" s="78">
        <v>136.19043997484687</v>
      </c>
      <c r="Y867" s="28"/>
      <c r="Z867" s="28"/>
      <c r="AK867" s="28"/>
      <c r="AS867" s="28"/>
      <c r="AT867" s="28"/>
    </row>
    <row r="868" spans="3:46" x14ac:dyDescent="0.15">
      <c r="C868" s="11">
        <v>6.3770860433578491E-3</v>
      </c>
      <c r="D868" s="11">
        <v>2.9237598180770874E-2</v>
      </c>
      <c r="E868" s="11">
        <v>0.24156437541864204</v>
      </c>
      <c r="F868" s="11">
        <v>0</v>
      </c>
      <c r="G868" s="11">
        <v>2.9703110456466675E-2</v>
      </c>
      <c r="H868" s="40">
        <v>3.9815647572324811E-4</v>
      </c>
      <c r="I868" s="40">
        <v>1.5534487691788175</v>
      </c>
      <c r="J868" s="59">
        <v>0</v>
      </c>
      <c r="K868" s="59">
        <v>7707.5790613889694</v>
      </c>
      <c r="L868" s="59">
        <v>0</v>
      </c>
      <c r="M868" s="11">
        <v>0.84927132725715637</v>
      </c>
      <c r="N868" s="11">
        <v>0.72504043579101562</v>
      </c>
      <c r="O868" s="11">
        <v>0.32911014556884766</v>
      </c>
      <c r="Q868" s="59">
        <v>14.825156025222064</v>
      </c>
      <c r="R868" s="78">
        <v>586.76348711988828</v>
      </c>
      <c r="S868" s="78">
        <v>14.885691403198631</v>
      </c>
      <c r="T868" s="78">
        <v>626.41471798976056</v>
      </c>
      <c r="U868" s="78">
        <v>6.0535377976567162E-2</v>
      </c>
      <c r="V868" s="78">
        <v>39.651230869872279</v>
      </c>
      <c r="Y868" s="28"/>
      <c r="Z868" s="28"/>
      <c r="AK868" s="28"/>
      <c r="AS868" s="28"/>
      <c r="AT868" s="28"/>
    </row>
    <row r="869" spans="3:46" x14ac:dyDescent="0.15">
      <c r="C869" s="11">
        <v>6.4297020435333252E-3</v>
      </c>
      <c r="D869" s="11">
        <v>2.3041948676109314E-2</v>
      </c>
      <c r="E869" s="11">
        <v>0.26578480574810043</v>
      </c>
      <c r="F869" s="11">
        <v>0</v>
      </c>
      <c r="G869" s="11">
        <v>3.0658811330795288E-2</v>
      </c>
      <c r="H869" s="40">
        <v>4.5688897915172749E-4</v>
      </c>
      <c r="I869" s="40">
        <v>1.4989608996462789</v>
      </c>
      <c r="J869" s="59">
        <v>0</v>
      </c>
      <c r="K869" s="59">
        <v>4357.6210737228394</v>
      </c>
      <c r="L869" s="59">
        <v>0</v>
      </c>
      <c r="M869" s="11">
        <v>0.82924675941467285</v>
      </c>
      <c r="N869" s="11">
        <v>0.75355261564254761</v>
      </c>
      <c r="O869" s="11">
        <v>0.25189304351806641</v>
      </c>
      <c r="Q869" s="59">
        <v>14.490802674801527</v>
      </c>
      <c r="R869" s="78">
        <v>501.30860004214998</v>
      </c>
      <c r="S869" s="78">
        <v>14.53635130124232</v>
      </c>
      <c r="T869" s="78">
        <v>607.9977530033143</v>
      </c>
      <c r="U869" s="78">
        <v>4.5548626440792717E-2</v>
      </c>
      <c r="V869" s="78">
        <v>106.68915296116433</v>
      </c>
      <c r="Y869" s="28"/>
      <c r="Z869" s="28"/>
      <c r="AK869" s="28"/>
      <c r="AS869" s="28"/>
      <c r="AT869" s="28"/>
    </row>
    <row r="870" spans="3:46" x14ac:dyDescent="0.15">
      <c r="C870" s="11">
        <v>2.360197901725769E-2</v>
      </c>
      <c r="D870" s="11">
        <v>3.428274393081665E-2</v>
      </c>
      <c r="E870" s="11">
        <v>0.24761257759226993</v>
      </c>
      <c r="F870" s="11">
        <v>0</v>
      </c>
      <c r="G870" s="11">
        <v>4.6577215194702148E-2</v>
      </c>
      <c r="H870" s="40">
        <v>3.2292623183616021E-4</v>
      </c>
      <c r="I870" s="40">
        <v>1.5328065752127522</v>
      </c>
      <c r="J870" s="59">
        <v>0</v>
      </c>
      <c r="K870" s="59">
        <v>5502.1001026034355</v>
      </c>
      <c r="L870" s="59">
        <v>0</v>
      </c>
      <c r="M870" s="11">
        <v>0.8942265510559082</v>
      </c>
      <c r="N870" s="11">
        <v>0.80415904521942139</v>
      </c>
      <c r="O870" s="11">
        <v>0.28244048357009888</v>
      </c>
      <c r="Q870" s="59">
        <v>15.362529712493641</v>
      </c>
      <c r="R870" s="78">
        <v>506.80551902692065</v>
      </c>
      <c r="S870" s="78">
        <v>15.407371344775195</v>
      </c>
      <c r="T870" s="78">
        <v>607.30775022460318</v>
      </c>
      <c r="U870" s="78">
        <v>4.4841632281553245E-2</v>
      </c>
      <c r="V870" s="78">
        <v>100.50223119768253</v>
      </c>
      <c r="Y870" s="28"/>
      <c r="Z870" s="28"/>
      <c r="AK870" s="28"/>
      <c r="AS870" s="28"/>
      <c r="AT870" s="28"/>
    </row>
    <row r="871" spans="3:46" x14ac:dyDescent="0.15">
      <c r="C871" s="11">
        <v>1.6723766922950745E-2</v>
      </c>
      <c r="D871" s="11">
        <v>4.7685354948043823E-3</v>
      </c>
      <c r="E871" s="11">
        <v>0.26310799074567476</v>
      </c>
      <c r="F871" s="11">
        <v>0</v>
      </c>
      <c r="G871" s="11">
        <v>3.2631054520606995E-2</v>
      </c>
      <c r="H871" s="40">
        <v>4.342721246271558E-4</v>
      </c>
      <c r="I871" s="40">
        <v>1.4130649084414157</v>
      </c>
      <c r="J871" s="59">
        <v>0</v>
      </c>
      <c r="K871" s="59">
        <v>5731.0215197503567</v>
      </c>
      <c r="L871" s="59">
        <v>0</v>
      </c>
      <c r="M871" s="11">
        <v>0.84810507297515869</v>
      </c>
      <c r="N871" s="11">
        <v>0.7376905083656311</v>
      </c>
      <c r="O871" s="11">
        <v>0.31788569688796997</v>
      </c>
      <c r="Q871" s="59">
        <v>14.681513839369325</v>
      </c>
      <c r="R871" s="78">
        <v>499.358072262311</v>
      </c>
      <c r="S871" s="78">
        <v>14.717097367589613</v>
      </c>
      <c r="T871" s="78">
        <v>607.04732253102566</v>
      </c>
      <c r="U871" s="78">
        <v>3.5583528220287874E-2</v>
      </c>
      <c r="V871" s="78">
        <v>107.68925026871466</v>
      </c>
      <c r="Y871" s="28"/>
      <c r="Z871" s="28"/>
      <c r="AK871" s="28"/>
      <c r="AS871" s="28"/>
      <c r="AT871" s="28"/>
    </row>
    <row r="872" spans="3:46" x14ac:dyDescent="0.15">
      <c r="C872" s="11">
        <v>1.3848647475242615E-2</v>
      </c>
      <c r="D872" s="11">
        <v>3.668820858001709E-2</v>
      </c>
      <c r="E872" s="11">
        <v>0.16792510654105397</v>
      </c>
      <c r="F872" s="11">
        <v>0</v>
      </c>
      <c r="G872" s="11">
        <v>4.4210523366928101E-2</v>
      </c>
      <c r="H872" s="40">
        <v>4.5883257957210434E-4</v>
      </c>
      <c r="I872" s="40">
        <v>1.3771490803952493</v>
      </c>
      <c r="J872" s="59">
        <v>0</v>
      </c>
      <c r="K872" s="59">
        <v>3026.5934765338898</v>
      </c>
      <c r="L872" s="59">
        <v>0</v>
      </c>
      <c r="M872" s="11">
        <v>0.88218474388122559</v>
      </c>
      <c r="N872" s="11">
        <v>0.74229949712753296</v>
      </c>
      <c r="O872" s="11">
        <v>0.3616175651550293</v>
      </c>
      <c r="Q872" s="59">
        <v>15.304629814648118</v>
      </c>
      <c r="R872" s="78">
        <v>449.92991646122545</v>
      </c>
      <c r="S872" s="78">
        <v>15.356166540689504</v>
      </c>
      <c r="T872" s="78">
        <v>588.50763542506695</v>
      </c>
      <c r="U872" s="78">
        <v>5.1536726041385705E-2</v>
      </c>
      <c r="V872" s="78">
        <v>138.57771896384151</v>
      </c>
      <c r="Y872" s="28"/>
      <c r="Z872" s="28"/>
      <c r="AK872" s="28"/>
      <c r="AS872" s="28"/>
      <c r="AT872" s="28"/>
    </row>
    <row r="873" spans="3:46" x14ac:dyDescent="0.15">
      <c r="C873" s="11">
        <v>2.4421513080596924E-3</v>
      </c>
      <c r="D873" s="11">
        <v>1.0083571076393127E-2</v>
      </c>
      <c r="E873" s="11">
        <v>0.26330375130164885</v>
      </c>
      <c r="F873" s="11">
        <v>0</v>
      </c>
      <c r="G873" s="11">
        <v>5.0404846668243408E-2</v>
      </c>
      <c r="H873" s="40">
        <v>5.5646875704429548E-4</v>
      </c>
      <c r="I873" s="40">
        <v>1.4671653552428539</v>
      </c>
      <c r="J873" s="59">
        <v>0</v>
      </c>
      <c r="K873" s="59">
        <v>6450.5217596888542</v>
      </c>
      <c r="L873" s="59">
        <v>0</v>
      </c>
      <c r="M873" s="11">
        <v>0.8043055534362793</v>
      </c>
      <c r="N873" s="11">
        <v>0.77752196788787842</v>
      </c>
      <c r="O873" s="11">
        <v>0.27366417646408081</v>
      </c>
      <c r="Q873" s="59">
        <v>14.125314296786684</v>
      </c>
      <c r="R873" s="78">
        <v>589.85343948824925</v>
      </c>
      <c r="S873" s="78">
        <v>14.159592237203464</v>
      </c>
      <c r="T873" s="78">
        <v>631.49258044191947</v>
      </c>
      <c r="U873" s="78">
        <v>3.4277940416780339E-2</v>
      </c>
      <c r="V873" s="78">
        <v>41.639140953670221</v>
      </c>
      <c r="Y873" s="28"/>
      <c r="Z873" s="28"/>
      <c r="AK873" s="28"/>
      <c r="AS873" s="28"/>
      <c r="AT873" s="28"/>
    </row>
    <row r="874" spans="3:46" x14ac:dyDescent="0.15">
      <c r="C874" s="11">
        <v>1.1868476867675781E-3</v>
      </c>
      <c r="D874" s="11">
        <v>3.5252571105957031E-3</v>
      </c>
      <c r="E874" s="11">
        <v>0.29610806991286737</v>
      </c>
      <c r="F874" s="11">
        <v>0</v>
      </c>
      <c r="G874" s="11">
        <v>3.0701339244842529E-2</v>
      </c>
      <c r="H874" s="40">
        <v>4.0499220585133084E-4</v>
      </c>
      <c r="I874" s="40">
        <v>1.5570103252242649</v>
      </c>
      <c r="J874" s="59">
        <v>0</v>
      </c>
      <c r="K874" s="59">
        <v>5930.6574985384941</v>
      </c>
      <c r="L874" s="59">
        <v>0</v>
      </c>
      <c r="M874" s="11">
        <v>0.87407749891281128</v>
      </c>
      <c r="N874" s="11">
        <v>0.68444037437438965</v>
      </c>
      <c r="O874" s="11">
        <v>0.29037016630172729</v>
      </c>
      <c r="Q874" s="59">
        <v>15.319228743341945</v>
      </c>
      <c r="R874" s="78">
        <v>548.80017133089393</v>
      </c>
      <c r="S874" s="78">
        <v>15.390277487190971</v>
      </c>
      <c r="T874" s="78">
        <v>625.6344862333741</v>
      </c>
      <c r="U874" s="78">
        <v>7.1048743849026152E-2</v>
      </c>
      <c r="V874" s="78">
        <v>76.834314902480173</v>
      </c>
      <c r="Y874" s="28"/>
      <c r="Z874" s="28"/>
      <c r="AK874" s="28"/>
      <c r="AS874" s="28"/>
      <c r="AT874" s="28"/>
    </row>
    <row r="875" spans="3:46" x14ac:dyDescent="0.15">
      <c r="C875" s="11">
        <v>3.8988411426544189E-2</v>
      </c>
      <c r="D875" s="11">
        <v>4.3739736080169678E-2</v>
      </c>
      <c r="E875" s="11">
        <v>0.22775740958239907</v>
      </c>
      <c r="F875" s="11">
        <v>0</v>
      </c>
      <c r="G875" s="11">
        <v>4.5386314392089844E-2</v>
      </c>
      <c r="H875" s="40">
        <v>3.7612588876486254E-4</v>
      </c>
      <c r="I875" s="40">
        <v>1.4230258412569561</v>
      </c>
      <c r="J875" s="59">
        <v>0</v>
      </c>
      <c r="K875" s="59">
        <v>8540.0231182575226</v>
      </c>
      <c r="L875" s="59">
        <v>0</v>
      </c>
      <c r="M875" s="11">
        <v>0.83202892541885376</v>
      </c>
      <c r="N875" s="11">
        <v>0.76687240600585938</v>
      </c>
      <c r="O875" s="11">
        <v>0.28342735767364502</v>
      </c>
      <c r="Q875" s="59">
        <v>14.080214986867441</v>
      </c>
      <c r="R875" s="78">
        <v>538.76917769251327</v>
      </c>
      <c r="S875" s="78">
        <v>14.11360006055941</v>
      </c>
      <c r="T875" s="78">
        <v>612.33407926199516</v>
      </c>
      <c r="U875" s="78">
        <v>3.3385073691968969E-2</v>
      </c>
      <c r="V875" s="78">
        <v>73.56490156948189</v>
      </c>
      <c r="Y875" s="28"/>
      <c r="Z875" s="28"/>
      <c r="AK875" s="28"/>
      <c r="AS875" s="28"/>
      <c r="AT875" s="28"/>
    </row>
    <row r="876" spans="3:46" x14ac:dyDescent="0.15">
      <c r="C876" s="11">
        <v>3.5504937171936035E-2</v>
      </c>
      <c r="D876" s="11">
        <v>1.7350554466247559E-2</v>
      </c>
      <c r="E876" s="11">
        <v>0.31815312911264237</v>
      </c>
      <c r="F876" s="11">
        <v>0</v>
      </c>
      <c r="G876" s="11">
        <v>2.5022983551025391E-2</v>
      </c>
      <c r="H876" s="40">
        <v>4.1857020793844993E-4</v>
      </c>
      <c r="I876" s="40">
        <v>1.4822643413550636</v>
      </c>
      <c r="J876" s="59">
        <v>0</v>
      </c>
      <c r="K876" s="59">
        <v>4779.7465231269598</v>
      </c>
      <c r="L876" s="59">
        <v>0</v>
      </c>
      <c r="M876" s="11">
        <v>0.85236060619354248</v>
      </c>
      <c r="N876" s="11">
        <v>0.76686429977416992</v>
      </c>
      <c r="O876" s="11">
        <v>0.28722065687179565</v>
      </c>
      <c r="Q876" s="59">
        <v>14.468224742735638</v>
      </c>
      <c r="R876" s="78">
        <v>491.0031833491546</v>
      </c>
      <c r="S876" s="78">
        <v>14.504069926119167</v>
      </c>
      <c r="T876" s="78">
        <v>610.27818591194625</v>
      </c>
      <c r="U876" s="78">
        <v>3.5845183383528934E-2</v>
      </c>
      <c r="V876" s="78">
        <v>119.27500256279166</v>
      </c>
      <c r="Y876" s="28"/>
      <c r="Z876" s="28"/>
      <c r="AK876" s="28"/>
      <c r="AS876" s="28"/>
      <c r="AT876" s="28"/>
    </row>
    <row r="877" spans="3:46" x14ac:dyDescent="0.15">
      <c r="C877" s="11">
        <v>8.3728432655334473E-3</v>
      </c>
      <c r="D877" s="11">
        <v>9.3486905097961426E-3</v>
      </c>
      <c r="E877" s="11">
        <v>0.20643402343782222</v>
      </c>
      <c r="F877" s="11">
        <v>0</v>
      </c>
      <c r="G877" s="11">
        <v>3.8661301136016846E-2</v>
      </c>
      <c r="H877" s="40">
        <v>3.8396606900182809E-4</v>
      </c>
      <c r="I877" s="40">
        <v>1.4550796286295813</v>
      </c>
      <c r="J877" s="59">
        <v>0</v>
      </c>
      <c r="K877" s="59">
        <v>6318.3833844959736</v>
      </c>
      <c r="L877" s="59">
        <v>0</v>
      </c>
      <c r="M877" s="11">
        <v>0.85248509049415588</v>
      </c>
      <c r="N877" s="11">
        <v>0.62955474853515625</v>
      </c>
      <c r="O877" s="11">
        <v>0.33735138177871704</v>
      </c>
      <c r="Q877" s="59">
        <v>14.852795765004117</v>
      </c>
      <c r="R877" s="78">
        <v>514.8059813710247</v>
      </c>
      <c r="S877" s="78">
        <v>14.915301586524096</v>
      </c>
      <c r="T877" s="78">
        <v>604.26100574549287</v>
      </c>
      <c r="U877" s="78">
        <v>6.2505821519978966E-2</v>
      </c>
      <c r="V877" s="78">
        <v>89.455024374468167</v>
      </c>
      <c r="Y877" s="28"/>
      <c r="Z877" s="28"/>
      <c r="AK877" s="28"/>
      <c r="AS877" s="28"/>
      <c r="AT877" s="28"/>
    </row>
    <row r="878" spans="3:46" x14ac:dyDescent="0.15">
      <c r="C878" s="11">
        <v>1.8963053822517395E-2</v>
      </c>
      <c r="D878" s="11">
        <v>6.191551685333252E-3</v>
      </c>
      <c r="E878" s="11">
        <v>0.33331218346713537</v>
      </c>
      <c r="F878" s="11">
        <v>0</v>
      </c>
      <c r="G878" s="11">
        <v>4.0156781673431396E-2</v>
      </c>
      <c r="H878" s="40">
        <v>4.666594365278498E-4</v>
      </c>
      <c r="I878" s="40">
        <v>1.4719421073542547</v>
      </c>
      <c r="J878" s="59">
        <v>0</v>
      </c>
      <c r="K878" s="59">
        <v>5717.8689166903496</v>
      </c>
      <c r="L878" s="59">
        <v>0</v>
      </c>
      <c r="M878" s="11">
        <v>0.89511299133300781</v>
      </c>
      <c r="N878" s="11">
        <v>0.73164284229278564</v>
      </c>
      <c r="O878" s="11">
        <v>0.29802578687667847</v>
      </c>
      <c r="Q878" s="59">
        <v>15.427348421296337</v>
      </c>
      <c r="R878" s="78">
        <v>532.66045727048845</v>
      </c>
      <c r="S878" s="78">
        <v>15.482721097058896</v>
      </c>
      <c r="T878" s="78">
        <v>625.86152186355139</v>
      </c>
      <c r="U878" s="78">
        <v>5.5372675762558998E-2</v>
      </c>
      <c r="V878" s="78">
        <v>93.201064593062938</v>
      </c>
      <c r="Y878" s="28"/>
      <c r="Z878" s="28"/>
      <c r="AK878" s="28"/>
      <c r="AS878" s="28"/>
      <c r="AT878" s="28"/>
    </row>
    <row r="879" spans="3:46" x14ac:dyDescent="0.15">
      <c r="C879" s="11">
        <v>4.9567818641662598E-2</v>
      </c>
      <c r="D879" s="11">
        <v>1.0147377848625183E-2</v>
      </c>
      <c r="E879" s="11">
        <v>0.35264573871911586</v>
      </c>
      <c r="F879" s="11">
        <v>0</v>
      </c>
      <c r="G879" s="11">
        <v>3.9653182029724121E-2</v>
      </c>
      <c r="H879" s="40">
        <v>5.1610003692771438E-4</v>
      </c>
      <c r="I879" s="40">
        <v>1.4585373690520667</v>
      </c>
      <c r="J879" s="59">
        <v>0</v>
      </c>
      <c r="K879" s="59">
        <v>6555.1768057048321</v>
      </c>
      <c r="L879" s="59">
        <v>0</v>
      </c>
      <c r="M879" s="11">
        <v>0.85197323560714722</v>
      </c>
      <c r="N879" s="11">
        <v>0.75086182355880737</v>
      </c>
      <c r="O879" s="11">
        <v>0.30855464935302734</v>
      </c>
      <c r="Q879" s="59">
        <v>14.239030782043082</v>
      </c>
      <c r="R879" s="78">
        <v>556.96913763274199</v>
      </c>
      <c r="S879" s="78">
        <v>14.28003577014471</v>
      </c>
      <c r="T879" s="78">
        <v>637.29129017647415</v>
      </c>
      <c r="U879" s="78">
        <v>4.1004988101628115E-2</v>
      </c>
      <c r="V879" s="78">
        <v>80.322152543732159</v>
      </c>
      <c r="Y879" s="28"/>
      <c r="Z879" s="28"/>
      <c r="AK879" s="28"/>
      <c r="AS879" s="28"/>
      <c r="AT879" s="28"/>
    </row>
    <row r="880" spans="3:46" x14ac:dyDescent="0.15">
      <c r="C880" s="11">
        <v>2.2751569747924805E-2</v>
      </c>
      <c r="D880" s="11">
        <v>1.2957647442817688E-2</v>
      </c>
      <c r="E880" s="11">
        <v>0.11774293060332469</v>
      </c>
      <c r="F880" s="11">
        <v>0</v>
      </c>
      <c r="G880" s="11">
        <v>2.8009474277496338E-2</v>
      </c>
      <c r="H880" s="40">
        <v>5.7468785841185152E-4</v>
      </c>
      <c r="I880" s="40">
        <v>1.4058987365501991</v>
      </c>
      <c r="J880" s="59">
        <v>0</v>
      </c>
      <c r="K880" s="59">
        <v>4727.7216799557209</v>
      </c>
      <c r="L880" s="59">
        <v>0</v>
      </c>
      <c r="M880" s="11">
        <v>0.90269136428833008</v>
      </c>
      <c r="N880" s="11">
        <v>0.75289523601531982</v>
      </c>
      <c r="O880" s="11">
        <v>0.26876711845397949</v>
      </c>
      <c r="Q880" s="59">
        <v>15.500299459280603</v>
      </c>
      <c r="R880" s="78">
        <v>502.40455123012208</v>
      </c>
      <c r="S880" s="78">
        <v>15.572171395721805</v>
      </c>
      <c r="T880" s="78">
        <v>591.9980646945744</v>
      </c>
      <c r="U880" s="78">
        <v>7.1871936441201711E-2</v>
      </c>
      <c r="V880" s="78">
        <v>89.593513464452315</v>
      </c>
      <c r="Y880" s="28"/>
      <c r="Z880" s="28"/>
      <c r="AK880" s="28"/>
      <c r="AS880" s="28"/>
      <c r="AT880" s="28"/>
    </row>
    <row r="881" spans="3:46" x14ac:dyDescent="0.15">
      <c r="C881" s="11">
        <v>4.5128166675567627E-3</v>
      </c>
      <c r="D881" s="11">
        <v>4.650801420211792E-3</v>
      </c>
      <c r="E881" s="11">
        <v>0.18864941634578514</v>
      </c>
      <c r="F881" s="11">
        <v>0</v>
      </c>
      <c r="G881" s="11">
        <v>8.6325407028198242E-3</v>
      </c>
      <c r="H881" s="40">
        <v>4.776496580383865E-4</v>
      </c>
      <c r="I881" s="40">
        <v>1.405188138746303</v>
      </c>
      <c r="J881" s="59">
        <v>0</v>
      </c>
      <c r="K881" s="59">
        <v>5178.7775009870529</v>
      </c>
      <c r="L881" s="59">
        <v>0</v>
      </c>
      <c r="M881" s="11">
        <v>0.86929327249526978</v>
      </c>
      <c r="N881" s="11">
        <v>0.716408371925354</v>
      </c>
      <c r="O881" s="11">
        <v>0.2985081672668457</v>
      </c>
      <c r="Q881" s="59">
        <v>15.222366557184252</v>
      </c>
      <c r="R881" s="78">
        <v>483.53516449479901</v>
      </c>
      <c r="S881" s="78">
        <v>15.273429634213679</v>
      </c>
      <c r="T881" s="78">
        <v>596.1325823143859</v>
      </c>
      <c r="U881" s="78">
        <v>5.1063077029427362E-2</v>
      </c>
      <c r="V881" s="78">
        <v>112.59741781958689</v>
      </c>
      <c r="Y881" s="28"/>
      <c r="Z881" s="28"/>
      <c r="AK881" s="28"/>
      <c r="AS881" s="28"/>
      <c r="AT881" s="28"/>
    </row>
    <row r="882" spans="3:46" x14ac:dyDescent="0.15">
      <c r="C882" s="11">
        <v>1.615750789642334E-2</v>
      </c>
      <c r="D882" s="11">
        <v>6.8439483642578125E-2</v>
      </c>
      <c r="E882" s="11">
        <v>0.18950374093720412</v>
      </c>
      <c r="F882" s="11">
        <v>0</v>
      </c>
      <c r="G882" s="11">
        <v>7.9802274703979492E-2</v>
      </c>
      <c r="H882" s="40">
        <v>4.9736056373038396E-4</v>
      </c>
      <c r="I882" s="40">
        <v>1.348290228331833</v>
      </c>
      <c r="J882" s="59">
        <v>0</v>
      </c>
      <c r="K882" s="59">
        <v>3941.3571357727051</v>
      </c>
      <c r="L882" s="59">
        <v>0</v>
      </c>
      <c r="M882" s="11">
        <v>0.87503182888031006</v>
      </c>
      <c r="N882" s="11">
        <v>0.7448728084564209</v>
      </c>
      <c r="O882" s="11">
        <v>0.2561650276184082</v>
      </c>
      <c r="Q882" s="59">
        <v>15.129854163578427</v>
      </c>
      <c r="R882" s="78">
        <v>477.16791754021347</v>
      </c>
      <c r="S882" s="78">
        <v>15.191751569434837</v>
      </c>
      <c r="T882" s="78">
        <v>594.94162748409678</v>
      </c>
      <c r="U882" s="78">
        <v>6.1897405856409904E-2</v>
      </c>
      <c r="V882" s="78">
        <v>117.77370994388332</v>
      </c>
      <c r="Y882" s="28"/>
      <c r="Z882" s="28"/>
      <c r="AK882" s="28"/>
      <c r="AS882" s="28"/>
      <c r="AT882" s="28"/>
    </row>
    <row r="883" spans="3:46" x14ac:dyDescent="0.15">
      <c r="C883" s="11">
        <v>1.6896039247512817E-2</v>
      </c>
      <c r="D883" s="11">
        <v>2.1338075399398804E-2</v>
      </c>
      <c r="E883" s="11">
        <v>0.24841649953128928</v>
      </c>
      <c r="F883" s="11">
        <v>0</v>
      </c>
      <c r="G883" s="11">
        <v>4.1502177715301514E-2</v>
      </c>
      <c r="H883" s="40">
        <v>4.5463414298136084E-4</v>
      </c>
      <c r="I883" s="40">
        <v>1.3777357963669739</v>
      </c>
      <c r="J883" s="59">
        <v>0</v>
      </c>
      <c r="K883" s="59">
        <v>6063.3569955825806</v>
      </c>
      <c r="L883" s="59">
        <v>0</v>
      </c>
      <c r="M883" s="11">
        <v>0.78120803833007812</v>
      </c>
      <c r="N883" s="11">
        <v>0.73182225227355957</v>
      </c>
      <c r="O883" s="11">
        <v>0.23839569091796875</v>
      </c>
      <c r="Q883" s="59">
        <v>13.529462762761748</v>
      </c>
      <c r="R883" s="78">
        <v>503.89424138935203</v>
      </c>
      <c r="S883" s="78">
        <v>13.556640585040265</v>
      </c>
      <c r="T883" s="78">
        <v>606.60103993351436</v>
      </c>
      <c r="U883" s="78">
        <v>2.7177822278517283E-2</v>
      </c>
      <c r="V883" s="78">
        <v>102.70679854416233</v>
      </c>
      <c r="Y883" s="28"/>
      <c r="Z883" s="28"/>
      <c r="AK883" s="28"/>
      <c r="AS883" s="28"/>
      <c r="AT883" s="28"/>
    </row>
    <row r="884" spans="3:46" x14ac:dyDescent="0.15">
      <c r="C884" s="11">
        <v>1.3342395424842834E-2</v>
      </c>
      <c r="D884" s="11">
        <v>2.2147759795188904E-2</v>
      </c>
      <c r="E884" s="11">
        <v>0.68212216606950082</v>
      </c>
      <c r="F884" s="11">
        <v>0</v>
      </c>
      <c r="G884" s="11">
        <v>4.7658413648605347E-2</v>
      </c>
      <c r="H884" s="40">
        <v>3.7979032813576305E-4</v>
      </c>
      <c r="I884" s="40">
        <v>1.6351375376324953</v>
      </c>
      <c r="J884" s="59">
        <v>0</v>
      </c>
      <c r="K884" s="59">
        <v>4183.3124123513699</v>
      </c>
      <c r="L884" s="59">
        <v>0</v>
      </c>
      <c r="M884" s="11">
        <v>0.752349853515625</v>
      </c>
      <c r="N884" s="11">
        <v>0.69878053665161133</v>
      </c>
      <c r="O884" s="11">
        <v>0.26995044946670532</v>
      </c>
      <c r="Q884" s="59">
        <v>13.047084822348607</v>
      </c>
      <c r="R884" s="78">
        <v>531.3217087362882</v>
      </c>
      <c r="S884" s="78">
        <v>13.067178585125031</v>
      </c>
      <c r="T884" s="78">
        <v>673.55253840631769</v>
      </c>
      <c r="U884" s="78">
        <v>2.0093762776424384E-2</v>
      </c>
      <c r="V884" s="78">
        <v>142.23082967002949</v>
      </c>
      <c r="Y884" s="28"/>
      <c r="Z884" s="28"/>
      <c r="AK884" s="28"/>
      <c r="AS884" s="28"/>
      <c r="AT884" s="28"/>
    </row>
    <row r="885" spans="3:46" x14ac:dyDescent="0.15">
      <c r="C885" s="11">
        <v>1.3258039951324463E-2</v>
      </c>
      <c r="D885" s="11">
        <v>1.0507389903068542E-2</v>
      </c>
      <c r="E885" s="11">
        <v>0.21733436719307572</v>
      </c>
      <c r="F885" s="11">
        <v>0</v>
      </c>
      <c r="G885" s="11">
        <v>1.6048908233642578E-2</v>
      </c>
      <c r="H885" s="40">
        <v>3.0123794639658728E-4</v>
      </c>
      <c r="I885" s="40">
        <v>1.4579519492981292</v>
      </c>
      <c r="J885" s="59">
        <v>0</v>
      </c>
      <c r="K885" s="59">
        <v>6826.8971517682076</v>
      </c>
      <c r="L885" s="59">
        <v>0</v>
      </c>
      <c r="M885" s="11">
        <v>0.77980566024780273</v>
      </c>
      <c r="N885" s="11">
        <v>0.74747413396835327</v>
      </c>
      <c r="O885" s="11">
        <v>0.3701171875</v>
      </c>
      <c r="Q885" s="59">
        <v>13.572433815341945</v>
      </c>
      <c r="R885" s="78">
        <v>484.74942042135234</v>
      </c>
      <c r="S885" s="78">
        <v>13.587335360139804</v>
      </c>
      <c r="T885" s="78">
        <v>598.92758108585622</v>
      </c>
      <c r="U885" s="78">
        <v>1.4901544797858435E-2</v>
      </c>
      <c r="V885" s="78">
        <v>114.17816066450388</v>
      </c>
      <c r="Y885" s="28"/>
      <c r="Z885" s="28"/>
      <c r="AK885" s="28"/>
      <c r="AS885" s="28"/>
      <c r="AT885" s="28"/>
    </row>
    <row r="886" spans="3:46" x14ac:dyDescent="0.15">
      <c r="C886" s="11">
        <v>1.3493895530700684E-3</v>
      </c>
      <c r="D886" s="11">
        <v>5.4558068513870239E-3</v>
      </c>
      <c r="E886" s="11">
        <v>0.26807829069070932</v>
      </c>
      <c r="F886" s="11">
        <v>0</v>
      </c>
      <c r="G886" s="11">
        <v>4.1600525379180908E-2</v>
      </c>
      <c r="H886" s="40">
        <v>4.4001399108768154E-4</v>
      </c>
      <c r="I886" s="40">
        <v>1.4831806466281052</v>
      </c>
      <c r="J886" s="59">
        <v>0</v>
      </c>
      <c r="K886" s="59">
        <v>4157.8314267098904</v>
      </c>
      <c r="L886" s="59">
        <v>0</v>
      </c>
      <c r="M886" s="11">
        <v>0.82859170436859131</v>
      </c>
      <c r="N886" s="11">
        <v>0.6900942325592041</v>
      </c>
      <c r="O886" s="11">
        <v>0.31934893131256104</v>
      </c>
      <c r="Q886" s="59">
        <v>14.545363442640539</v>
      </c>
      <c r="R886" s="78">
        <v>494.82520379473715</v>
      </c>
      <c r="S886" s="78">
        <v>14.596841649496922</v>
      </c>
      <c r="T886" s="78">
        <v>606.43474173806135</v>
      </c>
      <c r="U886" s="78">
        <v>5.1478206856382158E-2</v>
      </c>
      <c r="V886" s="78">
        <v>111.6095379433242</v>
      </c>
      <c r="Y886" s="28"/>
      <c r="Z886" s="28"/>
      <c r="AK886" s="28"/>
      <c r="AS886" s="28"/>
      <c r="AT886" s="28"/>
    </row>
    <row r="887" spans="3:46" x14ac:dyDescent="0.15">
      <c r="C887" s="11">
        <v>7.0455670356750488E-3</v>
      </c>
      <c r="D887" s="11">
        <v>2.5544166564941406E-3</v>
      </c>
      <c r="E887" s="11">
        <v>0.42325342486855216</v>
      </c>
      <c r="F887" s="11">
        <v>0</v>
      </c>
      <c r="G887" s="11">
        <v>2.9729664325714111E-2</v>
      </c>
      <c r="H887" s="40">
        <v>7.3566074556604332E-4</v>
      </c>
      <c r="I887" s="40">
        <v>1.5329476448936932</v>
      </c>
      <c r="J887" s="59">
        <v>0</v>
      </c>
      <c r="K887" s="59">
        <v>6505.4651349782944</v>
      </c>
      <c r="L887" s="59">
        <v>0</v>
      </c>
      <c r="M887" s="11">
        <v>0.85620737075805664</v>
      </c>
      <c r="N887" s="11">
        <v>0.74098628759384155</v>
      </c>
      <c r="O887" s="11">
        <v>0.27520716190338135</v>
      </c>
      <c r="Q887" s="59">
        <v>14.895802838522616</v>
      </c>
      <c r="R887" s="78">
        <v>673.60993764549983</v>
      </c>
      <c r="S887" s="78">
        <v>14.964365407153984</v>
      </c>
      <c r="T887" s="78">
        <v>700.1367804746759</v>
      </c>
      <c r="U887" s="78">
        <v>6.8562568631367782E-2</v>
      </c>
      <c r="V887" s="78">
        <v>26.526842829176076</v>
      </c>
      <c r="Y887" s="28"/>
      <c r="Z887" s="28"/>
      <c r="AK887" s="28"/>
      <c r="AS887" s="28"/>
      <c r="AT887" s="28"/>
    </row>
    <row r="888" spans="3:46" x14ac:dyDescent="0.15">
      <c r="C888" s="11">
        <v>3.1886935234069824E-2</v>
      </c>
      <c r="D888" s="11">
        <v>8.4886997938156128E-3</v>
      </c>
      <c r="E888" s="11">
        <v>0.12335380362169385</v>
      </c>
      <c r="F888" s="11">
        <v>0</v>
      </c>
      <c r="G888" s="11">
        <v>2.6200264692306519E-2</v>
      </c>
      <c r="H888" s="40">
        <v>6.2688214933473646E-4</v>
      </c>
      <c r="I888" s="40">
        <v>1.3581426610833678</v>
      </c>
      <c r="J888" s="59">
        <v>0</v>
      </c>
      <c r="K888" s="59">
        <v>2766.801044344902</v>
      </c>
      <c r="L888" s="59">
        <v>0</v>
      </c>
      <c r="M888" s="11">
        <v>0.84667426347732544</v>
      </c>
      <c r="N888" s="11">
        <v>0.7760123610496521</v>
      </c>
      <c r="O888" s="11">
        <v>0.29910305142402649</v>
      </c>
      <c r="Q888" s="59">
        <v>14.431562467875073</v>
      </c>
      <c r="R888" s="78">
        <v>453.11516428394651</v>
      </c>
      <c r="S888" s="78">
        <v>14.472523839556738</v>
      </c>
      <c r="T888" s="78">
        <v>586.4150783569263</v>
      </c>
      <c r="U888" s="78">
        <v>4.096137168166436E-2</v>
      </c>
      <c r="V888" s="78">
        <v>133.29991407297979</v>
      </c>
      <c r="Y888" s="28"/>
      <c r="Z888" s="28"/>
      <c r="AK888" s="28"/>
      <c r="AS888" s="28"/>
      <c r="AT888" s="28"/>
    </row>
    <row r="889" spans="3:46" x14ac:dyDescent="0.15">
      <c r="C889" s="11">
        <v>7.9946815967559814E-3</v>
      </c>
      <c r="D889" s="11">
        <v>2.3751020431518555E-2</v>
      </c>
      <c r="E889" s="11">
        <v>0.24714562139075416</v>
      </c>
      <c r="F889" s="11">
        <v>0</v>
      </c>
      <c r="G889" s="11">
        <v>6.4594745635986328E-2</v>
      </c>
      <c r="H889" s="40">
        <v>4.9358125342519868E-4</v>
      </c>
      <c r="I889" s="40">
        <v>1.4802240472958523</v>
      </c>
      <c r="J889" s="59">
        <v>0</v>
      </c>
      <c r="K889" s="59">
        <v>4107.4003092944622</v>
      </c>
      <c r="L889" s="59">
        <v>0</v>
      </c>
      <c r="M889" s="11">
        <v>0.80548977851867676</v>
      </c>
      <c r="N889" s="11">
        <v>0.76167911291122437</v>
      </c>
      <c r="O889" s="11">
        <v>0.23773384094238281</v>
      </c>
      <c r="Q889" s="59">
        <v>14.054834662401232</v>
      </c>
      <c r="R889" s="78">
        <v>515.42059496964748</v>
      </c>
      <c r="S889" s="78">
        <v>14.099141040667051</v>
      </c>
      <c r="T889" s="78">
        <v>609.51360679277377</v>
      </c>
      <c r="U889" s="78">
        <v>4.4306378265819291E-2</v>
      </c>
      <c r="V889" s="78">
        <v>94.09301182312629</v>
      </c>
      <c r="Y889" s="28"/>
      <c r="Z889" s="28"/>
      <c r="AK889" s="28"/>
      <c r="AS889" s="28"/>
      <c r="AT889" s="28"/>
    </row>
    <row r="890" spans="3:46" x14ac:dyDescent="0.15">
      <c r="C890" s="11">
        <v>2.6567429304122925E-2</v>
      </c>
      <c r="D890" s="11">
        <v>2.6621699333190918E-2</v>
      </c>
      <c r="E890" s="11">
        <v>0.27778800207461646</v>
      </c>
      <c r="F890" s="11">
        <v>0</v>
      </c>
      <c r="G890" s="11">
        <v>3.264598548412323E-2</v>
      </c>
      <c r="H890" s="40">
        <v>4.8705084405420304E-4</v>
      </c>
      <c r="I890" s="40">
        <v>1.4948378320139266</v>
      </c>
      <c r="J890" s="59">
        <v>0</v>
      </c>
      <c r="K890" s="59">
        <v>7618.623785674572</v>
      </c>
      <c r="L890" s="59">
        <v>0</v>
      </c>
      <c r="M890" s="11">
        <v>0.83189618587493896</v>
      </c>
      <c r="N890" s="11">
        <v>0.75510716438293457</v>
      </c>
      <c r="O890" s="11">
        <v>0.31338995695114136</v>
      </c>
      <c r="Q890" s="59">
        <v>14.240402481048241</v>
      </c>
      <c r="R890" s="78">
        <v>589.26662408768027</v>
      </c>
      <c r="S890" s="78">
        <v>14.285887418538353</v>
      </c>
      <c r="T890" s="78">
        <v>634.17753413279354</v>
      </c>
      <c r="U890" s="78">
        <v>4.5484937490112287E-2</v>
      </c>
      <c r="V890" s="78">
        <v>44.910910045113269</v>
      </c>
      <c r="Y890" s="28"/>
      <c r="Z890" s="28"/>
      <c r="AK890" s="28"/>
      <c r="AS890" s="28"/>
      <c r="AT890" s="28"/>
    </row>
    <row r="891" spans="3:46" x14ac:dyDescent="0.15">
      <c r="C891" s="11">
        <v>5.230337381362915E-3</v>
      </c>
      <c r="D891" s="11">
        <v>7.7653825283050537E-3</v>
      </c>
      <c r="E891" s="11">
        <v>0.40887868496185042</v>
      </c>
      <c r="F891" s="11">
        <v>0</v>
      </c>
      <c r="G891" s="11">
        <v>4.3098360300064087E-2</v>
      </c>
      <c r="H891" s="40">
        <v>4.2684812007929548E-4</v>
      </c>
      <c r="I891" s="40">
        <v>1.475026894369653</v>
      </c>
      <c r="J891" s="59">
        <v>0</v>
      </c>
      <c r="K891" s="59">
        <v>2176.0538220405579</v>
      </c>
      <c r="L891" s="59">
        <v>0</v>
      </c>
      <c r="M891" s="11">
        <v>0.81374192237854004</v>
      </c>
      <c r="N891" s="11">
        <v>0.79215174913406372</v>
      </c>
      <c r="O891" s="11">
        <v>0.31961047649383545</v>
      </c>
      <c r="Q891" s="59">
        <v>14.266530796173509</v>
      </c>
      <c r="R891" s="78">
        <v>444.1884787478175</v>
      </c>
      <c r="S891" s="78">
        <v>14.285191760769385</v>
      </c>
      <c r="T891" s="78">
        <v>599.75466567811952</v>
      </c>
      <c r="U891" s="78">
        <v>1.866096459587574E-2</v>
      </c>
      <c r="V891" s="78">
        <v>155.56618693030202</v>
      </c>
      <c r="Y891" s="28"/>
      <c r="Z891" s="28"/>
      <c r="AK891" s="28"/>
      <c r="AS891" s="28"/>
      <c r="AT891" s="28"/>
    </row>
    <row r="892" spans="3:46" x14ac:dyDescent="0.15">
      <c r="C892" s="11">
        <v>2.4051547050476074E-2</v>
      </c>
      <c r="D892" s="11">
        <v>1.9462287425994873E-2</v>
      </c>
      <c r="E892" s="11">
        <v>0.59631639047087104</v>
      </c>
      <c r="F892" s="11">
        <v>0</v>
      </c>
      <c r="G892" s="11">
        <v>5.0337731838226318E-2</v>
      </c>
      <c r="H892" s="40">
        <v>3.25582102435496E-4</v>
      </c>
      <c r="I892" s="40">
        <v>1.4974114392380482</v>
      </c>
      <c r="J892" s="59">
        <v>0</v>
      </c>
      <c r="K892" s="59">
        <v>4933.6603842675686</v>
      </c>
      <c r="L892" s="59">
        <v>0</v>
      </c>
      <c r="M892" s="11">
        <v>0.82577228546142578</v>
      </c>
      <c r="N892" s="11">
        <v>0.75270318984985352</v>
      </c>
      <c r="O892" s="11">
        <v>0.3136942982673645</v>
      </c>
      <c r="Q892" s="59">
        <v>14.192699852739242</v>
      </c>
      <c r="R892" s="78">
        <v>488.14883271912282</v>
      </c>
      <c r="S892" s="78">
        <v>14.209694840302937</v>
      </c>
      <c r="T892" s="78">
        <v>635.49996644236342</v>
      </c>
      <c r="U892" s="78">
        <v>1.6994987563695219E-2</v>
      </c>
      <c r="V892" s="78">
        <v>147.35113372324059</v>
      </c>
      <c r="Y892" s="28"/>
      <c r="Z892" s="28"/>
      <c r="AK892" s="28"/>
      <c r="AS892" s="28"/>
      <c r="AT892" s="28"/>
    </row>
    <row r="893" spans="3:46" x14ac:dyDescent="0.15">
      <c r="C893" s="11">
        <v>4.7461271286010742E-2</v>
      </c>
      <c r="D893" s="11">
        <v>2.0620077848434448E-2</v>
      </c>
      <c r="E893" s="11">
        <v>0.35503071894031024</v>
      </c>
      <c r="F893" s="11">
        <v>0</v>
      </c>
      <c r="G893" s="11">
        <v>6.7058384418487549E-2</v>
      </c>
      <c r="H893" s="40">
        <v>4.0816577710322578E-4</v>
      </c>
      <c r="I893" s="40">
        <v>1.5154833270019203</v>
      </c>
      <c r="J893" s="59">
        <v>0</v>
      </c>
      <c r="K893" s="59">
        <v>5127.8388127684593</v>
      </c>
      <c r="L893" s="59">
        <v>0</v>
      </c>
      <c r="M893" s="11">
        <v>0.84641826152801514</v>
      </c>
      <c r="N893" s="11">
        <v>0.77853059768676758</v>
      </c>
      <c r="O893" s="11">
        <v>0.28227990865707397</v>
      </c>
      <c r="Q893" s="59">
        <v>14.182041553648528</v>
      </c>
      <c r="R893" s="78">
        <v>529.1973233594864</v>
      </c>
      <c r="S893" s="78">
        <v>14.219851509847096</v>
      </c>
      <c r="T893" s="78">
        <v>627.64416423484022</v>
      </c>
      <c r="U893" s="78">
        <v>3.7809956198568528E-2</v>
      </c>
      <c r="V893" s="78">
        <v>98.446840875353814</v>
      </c>
      <c r="Y893" s="28"/>
      <c r="Z893" s="28"/>
      <c r="AK893" s="28"/>
      <c r="AS893" s="28"/>
      <c r="AT893" s="28"/>
    </row>
    <row r="894" spans="3:46" x14ac:dyDescent="0.15">
      <c r="C894" s="11">
        <v>4.4312477111816406E-3</v>
      </c>
      <c r="D894" s="11">
        <v>4.0923953056335449E-3</v>
      </c>
      <c r="E894" s="11">
        <v>0.32770737387047089</v>
      </c>
      <c r="F894" s="11">
        <v>0</v>
      </c>
      <c r="G894" s="11">
        <v>4.4750452041625977E-2</v>
      </c>
      <c r="H894" s="40">
        <v>4.806403596043456E-4</v>
      </c>
      <c r="I894" s="40">
        <v>1.4913889650796588</v>
      </c>
      <c r="J894" s="59">
        <v>0</v>
      </c>
      <c r="K894" s="59">
        <v>4280.5937118828297</v>
      </c>
      <c r="L894" s="59">
        <v>0</v>
      </c>
      <c r="M894" s="11">
        <v>0.8987123966217041</v>
      </c>
      <c r="N894" s="11">
        <v>0.79812395572662354</v>
      </c>
      <c r="O894" s="11">
        <v>0.36864280700683594</v>
      </c>
      <c r="Q894" s="59">
        <v>15.737532360953036</v>
      </c>
      <c r="R894" s="78">
        <v>511.3945157208654</v>
      </c>
      <c r="S894" s="78">
        <v>15.781910279086771</v>
      </c>
      <c r="T894" s="78">
        <v>618.0643800724298</v>
      </c>
      <c r="U894" s="78">
        <v>4.437791813373515E-2</v>
      </c>
      <c r="V894" s="78">
        <v>106.6698643515644</v>
      </c>
      <c r="Y894" s="28"/>
      <c r="Z894" s="28"/>
      <c r="AK894" s="28"/>
      <c r="AS894" s="28"/>
      <c r="AT894" s="28"/>
    </row>
    <row r="895" spans="3:46" x14ac:dyDescent="0.15">
      <c r="C895" s="11">
        <v>1.0274127125740051E-2</v>
      </c>
      <c r="D895" s="11">
        <v>2.6667803525924683E-2</v>
      </c>
      <c r="E895" s="11">
        <v>0.1817487492289748</v>
      </c>
      <c r="F895" s="11">
        <v>0</v>
      </c>
      <c r="G895" s="11">
        <v>2.8562784194946289E-2</v>
      </c>
      <c r="H895" s="40">
        <v>3.6884176042501263E-4</v>
      </c>
      <c r="I895" s="40">
        <v>1.4660747396916425</v>
      </c>
      <c r="J895" s="59">
        <v>0</v>
      </c>
      <c r="K895" s="59">
        <v>5697.1283629536629</v>
      </c>
      <c r="L895" s="59">
        <v>0</v>
      </c>
      <c r="M895" s="11">
        <v>0.81277585029602051</v>
      </c>
      <c r="N895" s="11">
        <v>0.74915039539337158</v>
      </c>
      <c r="O895" s="11">
        <v>0.30174753069877625</v>
      </c>
      <c r="Q895" s="59">
        <v>14.168140673223256</v>
      </c>
      <c r="R895" s="78">
        <v>495.81820130087294</v>
      </c>
      <c r="S895" s="78">
        <v>14.20147993417579</v>
      </c>
      <c r="T895" s="78">
        <v>597.75457949234942</v>
      </c>
      <c r="U895" s="78">
        <v>3.3339260952534033E-2</v>
      </c>
      <c r="V895" s="78">
        <v>101.93637819147648</v>
      </c>
      <c r="Y895" s="28"/>
      <c r="Z895" s="28"/>
      <c r="AK895" s="28"/>
      <c r="AS895" s="28"/>
      <c r="AT895" s="28"/>
    </row>
    <row r="896" spans="3:46" x14ac:dyDescent="0.15">
      <c r="C896" s="11">
        <v>4.2162537574768066E-3</v>
      </c>
      <c r="D896" s="11">
        <v>3.7641048431396484E-2</v>
      </c>
      <c r="E896" s="11">
        <v>0.21837424338717132</v>
      </c>
      <c r="F896" s="11">
        <v>0</v>
      </c>
      <c r="G896" s="11">
        <v>4.0991097688674927E-2</v>
      </c>
      <c r="H896" s="40">
        <v>3.6234204019495791E-4</v>
      </c>
      <c r="I896" s="40">
        <v>1.615220678328821</v>
      </c>
      <c r="J896" s="59">
        <v>0</v>
      </c>
      <c r="K896" s="59">
        <v>6118.8661493360996</v>
      </c>
      <c r="L896" s="59">
        <v>0</v>
      </c>
      <c r="M896" s="11">
        <v>0.86015218496322632</v>
      </c>
      <c r="N896" s="11">
        <v>0.6919553279876709</v>
      </c>
      <c r="O896" s="11">
        <v>0.32614821195602417</v>
      </c>
      <c r="Q896" s="59">
        <v>15.01857038320915</v>
      </c>
      <c r="R896" s="78">
        <v>570.45286922806622</v>
      </c>
      <c r="S896" s="78">
        <v>15.1045430958139</v>
      </c>
      <c r="T896" s="78">
        <v>618.34376333665966</v>
      </c>
      <c r="U896" s="78">
        <v>8.5972712604750257E-2</v>
      </c>
      <c r="V896" s="78">
        <v>47.890894108593443</v>
      </c>
      <c r="Y896" s="28"/>
      <c r="Z896" s="28"/>
      <c r="AK896" s="28"/>
      <c r="AS896" s="28"/>
      <c r="AT896" s="28"/>
    </row>
    <row r="897" spans="3:46" x14ac:dyDescent="0.15">
      <c r="C897" s="11">
        <v>4.0419250726699829E-3</v>
      </c>
      <c r="D897" s="11">
        <v>4.3029189109802246E-3</v>
      </c>
      <c r="E897" s="11">
        <v>0.50002086533249379</v>
      </c>
      <c r="F897" s="11">
        <v>0</v>
      </c>
      <c r="G897" s="11">
        <v>5.7947158813476562E-2</v>
      </c>
      <c r="H897" s="40">
        <v>3.5120750829267339E-4</v>
      </c>
      <c r="I897" s="40">
        <v>1.5140659197522564</v>
      </c>
      <c r="J897" s="59">
        <v>0</v>
      </c>
      <c r="K897" s="59">
        <v>5564.4800886511803</v>
      </c>
      <c r="L897" s="59">
        <v>0</v>
      </c>
      <c r="M897" s="11">
        <v>0.83037954568862915</v>
      </c>
      <c r="N897" s="11">
        <v>0.72840511798858643</v>
      </c>
      <c r="O897" s="11">
        <v>0.33864009380340576</v>
      </c>
      <c r="Q897" s="59">
        <v>14.55564916448647</v>
      </c>
      <c r="R897" s="78">
        <v>521.53297932302269</v>
      </c>
      <c r="S897" s="78">
        <v>14.581639102694247</v>
      </c>
      <c r="T897" s="78">
        <v>643.34026613270919</v>
      </c>
      <c r="U897" s="78">
        <v>2.5989938207777286E-2</v>
      </c>
      <c r="V897" s="78">
        <v>121.8072868096865</v>
      </c>
      <c r="Y897" s="28"/>
      <c r="Z897" s="28"/>
      <c r="AK897" s="28"/>
      <c r="AS897" s="28"/>
      <c r="AT897" s="28"/>
    </row>
    <row r="898" spans="3:46" x14ac:dyDescent="0.15">
      <c r="C898" s="11">
        <v>7.5914859771728516E-3</v>
      </c>
      <c r="D898" s="11">
        <v>1.5524864196777344E-2</v>
      </c>
      <c r="E898" s="11">
        <v>0.36120958228061018</v>
      </c>
      <c r="F898" s="11">
        <v>0</v>
      </c>
      <c r="G898" s="11">
        <v>2.0451635122299194E-2</v>
      </c>
      <c r="H898" s="40">
        <v>4.1422925978378927E-4</v>
      </c>
      <c r="I898" s="40">
        <v>1.4610309033431219</v>
      </c>
      <c r="J898" s="59">
        <v>0</v>
      </c>
      <c r="K898" s="59">
        <v>4136.4342905580997</v>
      </c>
      <c r="L898" s="59">
        <v>0</v>
      </c>
      <c r="M898" s="11">
        <v>0.88750004768371582</v>
      </c>
      <c r="N898" s="11">
        <v>0.78969573974609375</v>
      </c>
      <c r="O898" s="11">
        <v>0.33259040117263794</v>
      </c>
      <c r="Q898" s="59">
        <v>15.504686863378771</v>
      </c>
      <c r="R898" s="78">
        <v>472.34744754223067</v>
      </c>
      <c r="S898" s="78">
        <v>15.538115400661788</v>
      </c>
      <c r="T898" s="78">
        <v>607.63005780706965</v>
      </c>
      <c r="U898" s="78">
        <v>3.3428537283016979E-2</v>
      </c>
      <c r="V898" s="78">
        <v>135.28261026483898</v>
      </c>
      <c r="Y898" s="28"/>
      <c r="Z898" s="28"/>
      <c r="AK898" s="28"/>
      <c r="AS898" s="28"/>
      <c r="AT898" s="28"/>
    </row>
    <row r="899" spans="3:46" x14ac:dyDescent="0.15">
      <c r="C899" s="11">
        <v>3.8913726806640625E-2</v>
      </c>
      <c r="D899" s="11">
        <v>2.9888272285461426E-2</v>
      </c>
      <c r="E899" s="11">
        <v>0.13896018250251854</v>
      </c>
      <c r="F899" s="11">
        <v>0</v>
      </c>
      <c r="G899" s="11">
        <v>4.1066348552703857E-2</v>
      </c>
      <c r="H899" s="40">
        <v>4.2426041138543628E-4</v>
      </c>
      <c r="I899" s="40">
        <v>1.4407035903785139</v>
      </c>
      <c r="J899" s="59">
        <v>0</v>
      </c>
      <c r="K899" s="59">
        <v>3452.1240741014481</v>
      </c>
      <c r="L899" s="59">
        <v>0</v>
      </c>
      <c r="M899" s="11">
        <v>0.81611382961273193</v>
      </c>
      <c r="N899" s="11">
        <v>0.81496620178222656</v>
      </c>
      <c r="O899" s="11">
        <v>0.29347696900367737</v>
      </c>
      <c r="Q899" s="59">
        <v>13.824948180315548</v>
      </c>
      <c r="R899" s="78">
        <v>462.16157182060761</v>
      </c>
      <c r="S899" s="78">
        <v>13.850343563112036</v>
      </c>
      <c r="T899" s="78">
        <v>588.61136958735881</v>
      </c>
      <c r="U899" s="78">
        <v>2.5395382796487453E-2</v>
      </c>
      <c r="V899" s="78">
        <v>126.4497977667512</v>
      </c>
      <c r="Y899" s="28"/>
      <c r="Z899" s="28"/>
      <c r="AK899" s="28"/>
      <c r="AS899" s="28"/>
      <c r="AT899" s="28"/>
    </row>
    <row r="900" spans="3:46" x14ac:dyDescent="0.15">
      <c r="C900" s="11">
        <v>7.079586386680603E-3</v>
      </c>
      <c r="D900" s="11">
        <v>1.7991006374359131E-2</v>
      </c>
      <c r="E900" s="11">
        <v>0.27634591434537648</v>
      </c>
      <c r="F900" s="11">
        <v>0</v>
      </c>
      <c r="G900" s="11">
        <v>1.5781432390213013E-2</v>
      </c>
      <c r="H900" s="40">
        <v>3.9699967510330067E-4</v>
      </c>
      <c r="I900" s="40">
        <v>1.4851642864431485</v>
      </c>
      <c r="J900" s="59">
        <v>0</v>
      </c>
      <c r="K900" s="59">
        <v>3619.5944994688034</v>
      </c>
      <c r="L900" s="59">
        <v>0</v>
      </c>
      <c r="M900" s="11">
        <v>0.87518835067749023</v>
      </c>
      <c r="N900" s="11">
        <v>0.77985787391662598</v>
      </c>
      <c r="O900" s="11">
        <v>0.3170662522315979</v>
      </c>
      <c r="Q900" s="59">
        <v>15.295874736145601</v>
      </c>
      <c r="R900" s="78">
        <v>462.57434536434641</v>
      </c>
      <c r="S900" s="78">
        <v>15.334454405044243</v>
      </c>
      <c r="T900" s="78">
        <v>598.21341376751877</v>
      </c>
      <c r="U900" s="78">
        <v>3.8579668898641728E-2</v>
      </c>
      <c r="V900" s="78">
        <v>135.63906840317236</v>
      </c>
      <c r="Y900" s="28"/>
      <c r="Z900" s="28"/>
      <c r="AK900" s="28"/>
      <c r="AS900" s="28"/>
      <c r="AT900" s="28"/>
    </row>
    <row r="901" spans="3:46" x14ac:dyDescent="0.15">
      <c r="C901" s="11">
        <v>1.4611482620239258E-2</v>
      </c>
      <c r="D901" s="11">
        <v>3.0770361423492432E-2</v>
      </c>
      <c r="E901" s="11">
        <v>0.32682677334909593</v>
      </c>
      <c r="F901" s="11">
        <v>0</v>
      </c>
      <c r="G901" s="11">
        <v>1.8617004156112671E-2</v>
      </c>
      <c r="H901" s="40">
        <v>5.1377408876765777E-4</v>
      </c>
      <c r="I901" s="40">
        <v>1.5040022915886717</v>
      </c>
      <c r="J901" s="59">
        <v>0</v>
      </c>
      <c r="K901" s="59">
        <v>2863.4164482355118</v>
      </c>
      <c r="L901" s="59">
        <v>0</v>
      </c>
      <c r="M901" s="11">
        <v>0.86899465322494507</v>
      </c>
      <c r="N901" s="11">
        <v>0.75783592462539673</v>
      </c>
      <c r="O901" s="11">
        <v>0.30036908388137817</v>
      </c>
      <c r="Q901" s="59">
        <v>15.041032116349829</v>
      </c>
      <c r="R901" s="78">
        <v>468.26581314097399</v>
      </c>
      <c r="S901" s="78">
        <v>15.0971846801365</v>
      </c>
      <c r="T901" s="78">
        <v>603.70295490609431</v>
      </c>
      <c r="U901" s="78">
        <v>5.615256378667155E-2</v>
      </c>
      <c r="V901" s="78">
        <v>135.43714176512032</v>
      </c>
      <c r="Y901" s="28"/>
      <c r="Z901" s="28"/>
      <c r="AK901" s="28"/>
      <c r="AS901" s="28"/>
      <c r="AT901" s="28"/>
    </row>
    <row r="902" spans="3:46" x14ac:dyDescent="0.15">
      <c r="C902" s="11">
        <v>1.0367020964622498E-2</v>
      </c>
      <c r="D902" s="11">
        <v>2.7501583099365234E-2</v>
      </c>
      <c r="E902" s="11">
        <v>0.28164031567899694</v>
      </c>
      <c r="F902" s="11">
        <v>0</v>
      </c>
      <c r="G902" s="11">
        <v>4.299163818359375E-2</v>
      </c>
      <c r="H902" s="40">
        <v>6.1654298208131003E-4</v>
      </c>
      <c r="I902" s="40">
        <v>1.4881495382272132</v>
      </c>
      <c r="J902" s="59">
        <v>0</v>
      </c>
      <c r="K902" s="59">
        <v>6190.9714713692665</v>
      </c>
      <c r="L902" s="59">
        <v>0</v>
      </c>
      <c r="M902" s="11">
        <v>0.89682400226593018</v>
      </c>
      <c r="N902" s="11">
        <v>0.72195196151733398</v>
      </c>
      <c r="O902" s="11">
        <v>0.34386336803436279</v>
      </c>
      <c r="Q902" s="59">
        <v>15.54869060163384</v>
      </c>
      <c r="R902" s="78">
        <v>603.84665706941155</v>
      </c>
      <c r="S902" s="78">
        <v>15.639929055157662</v>
      </c>
      <c r="T902" s="78">
        <v>639.33968674358186</v>
      </c>
      <c r="U902" s="78">
        <v>9.1238453523821761E-2</v>
      </c>
      <c r="V902" s="78">
        <v>35.493029674170316</v>
      </c>
      <c r="Y902" s="28"/>
      <c r="Z902" s="28"/>
      <c r="AK902" s="28"/>
      <c r="AS902" s="28"/>
      <c r="AT902" s="28"/>
    </row>
    <row r="903" spans="3:46" x14ac:dyDescent="0.15">
      <c r="C903" s="11">
        <v>1.424524188041687E-2</v>
      </c>
      <c r="D903" s="11">
        <v>1.3360500335693359E-2</v>
      </c>
      <c r="E903" s="11">
        <v>0.35725405908197311</v>
      </c>
      <c r="F903" s="11">
        <v>0</v>
      </c>
      <c r="G903" s="11">
        <v>2.7670145034790039E-2</v>
      </c>
      <c r="H903" s="40">
        <v>3.3215262507694062E-4</v>
      </c>
      <c r="I903" s="40">
        <v>1.4252523683998173</v>
      </c>
      <c r="J903" s="59">
        <v>0</v>
      </c>
      <c r="K903" s="59">
        <v>4475.6452552974224</v>
      </c>
      <c r="L903" s="59">
        <v>0</v>
      </c>
      <c r="M903" s="11">
        <v>0.91351079940795898</v>
      </c>
      <c r="N903" s="11">
        <v>0.73039352893829346</v>
      </c>
      <c r="O903" s="11">
        <v>0.30406761169433594</v>
      </c>
      <c r="Q903" s="59">
        <v>15.848906746586497</v>
      </c>
      <c r="R903" s="78">
        <v>457.70335101505816</v>
      </c>
      <c r="S903" s="78">
        <v>15.885420305845161</v>
      </c>
      <c r="T903" s="78">
        <v>601.94601050951542</v>
      </c>
      <c r="U903" s="78">
        <v>3.6513559258663619E-2</v>
      </c>
      <c r="V903" s="78">
        <v>144.24265949445726</v>
      </c>
      <c r="Y903" s="28"/>
      <c r="Z903" s="28"/>
      <c r="AK903" s="28"/>
      <c r="AS903" s="28"/>
      <c r="AT903" s="28"/>
    </row>
    <row r="904" spans="3:46" x14ac:dyDescent="0.15">
      <c r="C904" s="11">
        <v>1.6017913818359375E-2</v>
      </c>
      <c r="D904" s="11">
        <v>3.6678194999694824E-2</v>
      </c>
      <c r="E904" s="11">
        <v>0.11341590601795122</v>
      </c>
      <c r="F904" s="11">
        <v>0</v>
      </c>
      <c r="G904" s="11">
        <v>1.1451184749603271E-2</v>
      </c>
      <c r="H904" s="40">
        <v>4.4714971904699814E-4</v>
      </c>
      <c r="I904" s="40">
        <v>1.3856510709134136</v>
      </c>
      <c r="J904" s="59">
        <v>0</v>
      </c>
      <c r="K904" s="59">
        <v>7408.5686355829239</v>
      </c>
      <c r="L904" s="59">
        <v>0</v>
      </c>
      <c r="M904" s="11">
        <v>0.83033996820449829</v>
      </c>
      <c r="N904" s="11">
        <v>0.75570023059844971</v>
      </c>
      <c r="O904" s="11">
        <v>0.31459993124008179</v>
      </c>
      <c r="Q904" s="59">
        <v>14.390522160900913</v>
      </c>
      <c r="R904" s="78">
        <v>507.90822411614067</v>
      </c>
      <c r="S904" s="78">
        <v>14.427084277698203</v>
      </c>
      <c r="T904" s="78">
        <v>592.09534747516886</v>
      </c>
      <c r="U904" s="78">
        <v>3.6562116797290045E-2</v>
      </c>
      <c r="V904" s="78">
        <v>84.187123359028192</v>
      </c>
      <c r="Y904" s="28"/>
      <c r="Z904" s="28"/>
      <c r="AK904" s="28"/>
      <c r="AS904" s="28"/>
      <c r="AT904" s="28"/>
    </row>
    <row r="905" spans="3:46" x14ac:dyDescent="0.15">
      <c r="C905" s="11">
        <v>1.0073795914649963E-2</v>
      </c>
      <c r="D905" s="11">
        <v>2.7871072292327881E-2</v>
      </c>
      <c r="E905" s="11">
        <v>0.26326384871227021</v>
      </c>
      <c r="F905" s="11">
        <v>0</v>
      </c>
      <c r="G905" s="11">
        <v>5.1111876964569092E-2</v>
      </c>
      <c r="H905" s="40">
        <v>5.2745726928332183E-4</v>
      </c>
      <c r="I905" s="40">
        <v>1.3882975911955666</v>
      </c>
      <c r="J905" s="59">
        <v>0</v>
      </c>
      <c r="K905" s="59">
        <v>6300.9839504957199</v>
      </c>
      <c r="L905" s="59">
        <v>0</v>
      </c>
      <c r="M905" s="11">
        <v>0.85743007063865662</v>
      </c>
      <c r="N905" s="11">
        <v>0.73422902822494507</v>
      </c>
      <c r="O905" s="11">
        <v>0.30007520318031311</v>
      </c>
      <c r="Q905" s="59">
        <v>14.923689338290778</v>
      </c>
      <c r="R905" s="78">
        <v>537.47143061894394</v>
      </c>
      <c r="S905" s="78">
        <v>14.974271029848566</v>
      </c>
      <c r="T905" s="78">
        <v>617.25872577970301</v>
      </c>
      <c r="U905" s="78">
        <v>5.0581691557788133E-2</v>
      </c>
      <c r="V905" s="78">
        <v>79.787295160759072</v>
      </c>
      <c r="Y905" s="28"/>
      <c r="Z905" s="28"/>
      <c r="AK905" s="28"/>
      <c r="AS905" s="28"/>
      <c r="AT905" s="28"/>
    </row>
    <row r="906" spans="3:46" x14ac:dyDescent="0.15">
      <c r="C906" s="11">
        <v>1.3296067714691162E-2</v>
      </c>
      <c r="D906" s="11">
        <v>2.626723051071167E-2</v>
      </c>
      <c r="E906" s="11">
        <v>0.22500396228160682</v>
      </c>
      <c r="F906" s="11">
        <v>0</v>
      </c>
      <c r="G906" s="11">
        <v>1.5430867671966553E-2</v>
      </c>
      <c r="H906" s="40">
        <v>4.1799690489814195E-4</v>
      </c>
      <c r="I906" s="40">
        <v>1.4606561879419018</v>
      </c>
      <c r="J906" s="59">
        <v>0</v>
      </c>
      <c r="K906" s="59">
        <v>7266.276516020298</v>
      </c>
      <c r="L906" s="59">
        <v>0</v>
      </c>
      <c r="M906" s="11">
        <v>0.87136608362197876</v>
      </c>
      <c r="N906" s="11">
        <v>0.80160069465637207</v>
      </c>
      <c r="O906" s="11">
        <v>0.26853108406066895</v>
      </c>
      <c r="Q906" s="59">
        <v>15.138197979288666</v>
      </c>
      <c r="R906" s="78">
        <v>527.6474355619963</v>
      </c>
      <c r="S906" s="78">
        <v>15.175677887981353</v>
      </c>
      <c r="T906" s="78">
        <v>609.50403418550411</v>
      </c>
      <c r="U906" s="78">
        <v>3.7479908692686692E-2</v>
      </c>
      <c r="V906" s="78">
        <v>81.856598623507807</v>
      </c>
      <c r="Y906" s="28"/>
      <c r="Z906" s="28"/>
      <c r="AK906" s="28"/>
      <c r="AS906" s="28"/>
      <c r="AT906" s="28"/>
    </row>
    <row r="907" spans="3:46" x14ac:dyDescent="0.15">
      <c r="C907" s="11">
        <v>2.7151048183441162E-2</v>
      </c>
      <c r="D907" s="11">
        <v>4.615938663482666E-2</v>
      </c>
      <c r="E907" s="11">
        <v>0.2188113393909196</v>
      </c>
      <c r="F907" s="11">
        <v>0</v>
      </c>
      <c r="G907" s="11">
        <v>1.52016282081604E-2</v>
      </c>
      <c r="H907" s="40">
        <v>3.8796151487408969E-4</v>
      </c>
      <c r="I907" s="40">
        <v>1.5199837409878922</v>
      </c>
      <c r="J907" s="59">
        <v>0</v>
      </c>
      <c r="K907" s="59">
        <v>6429.662462323904</v>
      </c>
      <c r="L907" s="59">
        <v>0</v>
      </c>
      <c r="M907" s="11">
        <v>0.81145113706588745</v>
      </c>
      <c r="N907" s="11">
        <v>0.8723602294921875</v>
      </c>
      <c r="O907" s="11">
        <v>0.27076351642608643</v>
      </c>
      <c r="Q907" s="59">
        <v>13.927469590219975</v>
      </c>
      <c r="R907" s="78">
        <v>522.19208446792936</v>
      </c>
      <c r="S907" s="78">
        <v>13.940271512648591</v>
      </c>
      <c r="T907" s="78">
        <v>607.5152767675138</v>
      </c>
      <c r="U907" s="78">
        <v>1.2801922428616663E-2</v>
      </c>
      <c r="V907" s="78">
        <v>85.323192299584434</v>
      </c>
      <c r="Y907" s="28"/>
      <c r="Z907" s="28"/>
      <c r="AK907" s="28"/>
      <c r="AS907" s="28"/>
      <c r="AT907" s="28"/>
    </row>
    <row r="908" spans="3:46" x14ac:dyDescent="0.15">
      <c r="C908" s="11">
        <v>2.1187692880630493E-2</v>
      </c>
      <c r="D908" s="11">
        <v>9.4962120056152344E-4</v>
      </c>
      <c r="E908" s="11">
        <v>0.33189116436103266</v>
      </c>
      <c r="F908" s="11">
        <v>0</v>
      </c>
      <c r="G908" s="11">
        <v>1.3904988765716553E-2</v>
      </c>
      <c r="H908" s="40">
        <v>5.7572614563756238E-4</v>
      </c>
      <c r="I908" s="40">
        <v>1.4224683335779549</v>
      </c>
      <c r="J908" s="59">
        <v>0</v>
      </c>
      <c r="K908" s="59">
        <v>2052.3369312286377</v>
      </c>
      <c r="L908" s="59">
        <v>0</v>
      </c>
      <c r="M908" s="11">
        <v>0.840645432472229</v>
      </c>
      <c r="N908" s="11">
        <v>0.79942512512207031</v>
      </c>
      <c r="O908" s="11">
        <v>0.30804744362831116</v>
      </c>
      <c r="Q908" s="59">
        <v>14.496992725046164</v>
      </c>
      <c r="R908" s="78">
        <v>439.59030328389309</v>
      </c>
      <c r="S908" s="78">
        <v>14.521622578522404</v>
      </c>
      <c r="T908" s="78">
        <v>594.35695864431898</v>
      </c>
      <c r="U908" s="78">
        <v>2.4629853476239916E-2</v>
      </c>
      <c r="V908" s="78">
        <v>154.76665536042589</v>
      </c>
      <c r="Y908" s="28"/>
      <c r="Z908" s="28"/>
      <c r="AK908" s="28"/>
      <c r="AS908" s="28"/>
      <c r="AT908" s="28"/>
    </row>
    <row r="909" spans="3:46" x14ac:dyDescent="0.15">
      <c r="C909" s="11">
        <v>1.6465455293655396E-2</v>
      </c>
      <c r="D909" s="11">
        <v>8.2497000694274902E-3</v>
      </c>
      <c r="E909" s="11">
        <v>0.25077972667092674</v>
      </c>
      <c r="F909" s="11">
        <v>0</v>
      </c>
      <c r="G909" s="11">
        <v>1.0499358177185059E-2</v>
      </c>
      <c r="H909" s="40">
        <v>3.9865668519831996E-4</v>
      </c>
      <c r="I909" s="40">
        <v>1.3771982610174665</v>
      </c>
      <c r="J909" s="59">
        <v>0</v>
      </c>
      <c r="K909" s="59">
        <v>5847.6952835917473</v>
      </c>
      <c r="L909" s="59">
        <v>0</v>
      </c>
      <c r="M909" s="11">
        <v>0.79745364189147949</v>
      </c>
      <c r="N909" s="11">
        <v>0.68449044227600098</v>
      </c>
      <c r="O909" s="11">
        <v>0.26981604099273682</v>
      </c>
      <c r="Q909" s="59">
        <v>13.814879837212192</v>
      </c>
      <c r="R909" s="78">
        <v>472.00835472133076</v>
      </c>
      <c r="S909" s="78">
        <v>13.844045008504585</v>
      </c>
      <c r="T909" s="78">
        <v>598.75809500624712</v>
      </c>
      <c r="U909" s="78">
        <v>2.91651712923926E-2</v>
      </c>
      <c r="V909" s="78">
        <v>126.74974028491636</v>
      </c>
      <c r="Y909" s="28"/>
      <c r="Z909" s="28"/>
      <c r="AK909" s="28"/>
      <c r="AS909" s="28"/>
      <c r="AT909" s="28"/>
    </row>
    <row r="910" spans="3:46" x14ac:dyDescent="0.15">
      <c r="C910" s="11">
        <v>4.825398325920105E-3</v>
      </c>
      <c r="D910" s="11">
        <v>2.1221205592155457E-2</v>
      </c>
      <c r="E910" s="11">
        <v>0.3578074168693795</v>
      </c>
      <c r="F910" s="11">
        <v>0</v>
      </c>
      <c r="G910" s="11">
        <v>5.601578950881958E-2</v>
      </c>
      <c r="H910" s="40">
        <v>4.0551174382801757E-4</v>
      </c>
      <c r="I910" s="40">
        <v>1.3838097503294635</v>
      </c>
      <c r="J910" s="59">
        <v>0</v>
      </c>
      <c r="K910" s="59">
        <v>7752.1242201328278</v>
      </c>
      <c r="L910" s="59">
        <v>0</v>
      </c>
      <c r="M910" s="11">
        <v>0.87861132621765137</v>
      </c>
      <c r="N910" s="11">
        <v>0.81155312061309814</v>
      </c>
      <c r="O910" s="11">
        <v>0.32478147745132446</v>
      </c>
      <c r="Q910" s="59">
        <v>15.40449982834892</v>
      </c>
      <c r="R910" s="78">
        <v>532.65586255811274</v>
      </c>
      <c r="S910" s="78">
        <v>15.430064345181945</v>
      </c>
      <c r="T910" s="78">
        <v>629.03287829802775</v>
      </c>
      <c r="U910" s="78">
        <v>2.5564516833025408E-2</v>
      </c>
      <c r="V910" s="78">
        <v>96.377015739915009</v>
      </c>
      <c r="Y910" s="28"/>
      <c r="Z910" s="28"/>
      <c r="AK910" s="28"/>
      <c r="AS910" s="28"/>
      <c r="AT910" s="28"/>
    </row>
    <row r="911" spans="3:46" x14ac:dyDescent="0.15">
      <c r="C911" s="11">
        <v>2.1836757659912109E-2</v>
      </c>
      <c r="D911" s="11">
        <v>1.6665548086166382E-2</v>
      </c>
      <c r="E911" s="11">
        <v>0.20701964364318029</v>
      </c>
      <c r="F911" s="11">
        <v>0</v>
      </c>
      <c r="G911" s="11">
        <v>6.3969075679779053E-2</v>
      </c>
      <c r="H911" s="40">
        <v>6.3712294434892475E-4</v>
      </c>
      <c r="I911" s="40">
        <v>1.3784447065452647</v>
      </c>
      <c r="J911" s="59">
        <v>0</v>
      </c>
      <c r="K911" s="59">
        <v>5626.557394862175</v>
      </c>
      <c r="L911" s="59">
        <v>0</v>
      </c>
      <c r="M911" s="11">
        <v>0.89095330238342285</v>
      </c>
      <c r="N911" s="11">
        <v>0.78553211688995361</v>
      </c>
      <c r="O911" s="11">
        <v>0.22407150268554688</v>
      </c>
      <c r="Q911" s="59">
        <v>15.315190871542857</v>
      </c>
      <c r="R911" s="78">
        <v>551.72460336488041</v>
      </c>
      <c r="S911" s="78">
        <v>15.377192464451973</v>
      </c>
      <c r="T911" s="78">
        <v>612.17656523227413</v>
      </c>
      <c r="U911" s="78">
        <v>6.2001592909115999E-2</v>
      </c>
      <c r="V911" s="78">
        <v>60.45196186739372</v>
      </c>
      <c r="Y911" s="28"/>
      <c r="Z911" s="28"/>
      <c r="AK911" s="28"/>
      <c r="AS911" s="28"/>
      <c r="AT911" s="28"/>
    </row>
    <row r="912" spans="3:46" x14ac:dyDescent="0.15">
      <c r="C912" s="11">
        <v>1.4008104801177979E-2</v>
      </c>
      <c r="D912" s="11">
        <v>1.2210443615913391E-2</v>
      </c>
      <c r="E912" s="11">
        <v>0.46142919757651751</v>
      </c>
      <c r="F912" s="11">
        <v>0</v>
      </c>
      <c r="G912" s="11">
        <v>5.1340669393539429E-2</v>
      </c>
      <c r="H912" s="40">
        <v>5.0910506755952789E-4</v>
      </c>
      <c r="I912" s="40">
        <v>1.4087684333918093</v>
      </c>
      <c r="J912" s="59">
        <v>0</v>
      </c>
      <c r="K912" s="59">
        <v>5344.2711941897869</v>
      </c>
      <c r="L912" s="59">
        <v>0</v>
      </c>
      <c r="M912" s="11">
        <v>0.77248859405517578</v>
      </c>
      <c r="N912" s="11">
        <v>0.75403094291687012</v>
      </c>
      <c r="O912" s="11">
        <v>0.28055876493453979</v>
      </c>
      <c r="Q912" s="59">
        <v>13.42158274904539</v>
      </c>
      <c r="R912" s="78">
        <v>518.92410401826805</v>
      </c>
      <c r="S912" s="78">
        <v>13.438739237649974</v>
      </c>
      <c r="T912" s="78">
        <v>637.2052019503551</v>
      </c>
      <c r="U912" s="78">
        <v>1.7156488604584297E-2</v>
      </c>
      <c r="V912" s="78">
        <v>118.28109793208705</v>
      </c>
      <c r="Y912" s="28"/>
      <c r="Z912" s="28"/>
      <c r="AK912" s="28"/>
      <c r="AS912" s="28"/>
      <c r="AT912" s="28"/>
    </row>
    <row r="913" spans="3:46" x14ac:dyDescent="0.15">
      <c r="C913" s="11">
        <v>3.7420570850372314E-2</v>
      </c>
      <c r="D913" s="11">
        <v>2.5801151990890503E-2</v>
      </c>
      <c r="E913" s="11">
        <v>0.19138695867636271</v>
      </c>
      <c r="F913" s="11">
        <v>0</v>
      </c>
      <c r="G913" s="11">
        <v>2.1327704191207886E-2</v>
      </c>
      <c r="H913" s="40">
        <v>3.7134498164417351E-4</v>
      </c>
      <c r="I913" s="40">
        <v>1.4748765950246481</v>
      </c>
      <c r="J913" s="59">
        <v>0</v>
      </c>
      <c r="K913" s="59">
        <v>3786.6458296775818</v>
      </c>
      <c r="L913" s="59">
        <v>0</v>
      </c>
      <c r="M913" s="11">
        <v>0.83458971977233887</v>
      </c>
      <c r="N913" s="11">
        <v>0.85499000549316406</v>
      </c>
      <c r="O913" s="11">
        <v>0.32252043485641479</v>
      </c>
      <c r="Q913" s="59">
        <v>14.171373594326747</v>
      </c>
      <c r="R913" s="78">
        <v>459.26822827129894</v>
      </c>
      <c r="S913" s="78">
        <v>14.186523946511093</v>
      </c>
      <c r="T913" s="78">
        <v>591.66551641376373</v>
      </c>
      <c r="U913" s="78">
        <v>1.5150352184345905E-2</v>
      </c>
      <c r="V913" s="78">
        <v>132.39728814246479</v>
      </c>
      <c r="Y913" s="28"/>
      <c r="Z913" s="28"/>
      <c r="AK913" s="28"/>
      <c r="AS913" s="28"/>
      <c r="AT913" s="28"/>
    </row>
    <row r="914" spans="3:46" x14ac:dyDescent="0.15">
      <c r="C914" s="11">
        <v>8.1755667924880981E-3</v>
      </c>
      <c r="D914" s="11">
        <v>1.7597362399101257E-2</v>
      </c>
      <c r="E914" s="11">
        <v>0.23383075730315642</v>
      </c>
      <c r="F914" s="11">
        <v>0</v>
      </c>
      <c r="G914" s="11">
        <v>4.2731285095214844E-2</v>
      </c>
      <c r="H914" s="40">
        <v>4.8349215647004192E-4</v>
      </c>
      <c r="I914" s="40">
        <v>1.4738327993333129</v>
      </c>
      <c r="J914" s="59">
        <v>0</v>
      </c>
      <c r="K914" s="59">
        <v>5193.0896006524563</v>
      </c>
      <c r="L914" s="59">
        <v>0</v>
      </c>
      <c r="M914" s="11">
        <v>0.86251112818717957</v>
      </c>
      <c r="N914" s="11">
        <v>0.77170681953430176</v>
      </c>
      <c r="O914" s="11">
        <v>0.29338949918746948</v>
      </c>
      <c r="Q914" s="59">
        <v>15.043909332940585</v>
      </c>
      <c r="R914" s="78">
        <v>527.8350438116538</v>
      </c>
      <c r="S914" s="78">
        <v>15.094605571698773</v>
      </c>
      <c r="T914" s="78">
        <v>610.81764053133406</v>
      </c>
      <c r="U914" s="78">
        <v>5.0696238758188628E-2</v>
      </c>
      <c r="V914" s="78">
        <v>82.982596719680259</v>
      </c>
      <c r="Y914" s="28"/>
      <c r="Z914" s="28"/>
      <c r="AK914" s="28"/>
      <c r="AS914" s="28"/>
      <c r="AT914" s="28"/>
    </row>
    <row r="915" spans="3:46" x14ac:dyDescent="0.15">
      <c r="C915" s="11">
        <v>2.6531994342803955E-2</v>
      </c>
      <c r="D915" s="11">
        <v>9.5900744199752808E-3</v>
      </c>
      <c r="E915" s="11">
        <v>0.25959605318753759</v>
      </c>
      <c r="F915" s="11">
        <v>0</v>
      </c>
      <c r="G915" s="11">
        <v>1.8774867057800293E-2</v>
      </c>
      <c r="H915" s="40">
        <v>4.9544469387226265E-4</v>
      </c>
      <c r="I915" s="40">
        <v>1.3957981975150153</v>
      </c>
      <c r="J915" s="59">
        <v>0</v>
      </c>
      <c r="K915" s="59">
        <v>4880.2467063069344</v>
      </c>
      <c r="L915" s="59">
        <v>0</v>
      </c>
      <c r="M915" s="11">
        <v>0.8467126190662384</v>
      </c>
      <c r="N915" s="11">
        <v>0.76654171943664551</v>
      </c>
      <c r="O915" s="11">
        <v>0.25925087928771973</v>
      </c>
      <c r="Q915" s="59">
        <v>14.514055021660422</v>
      </c>
      <c r="R915" s="78">
        <v>482.73416747606376</v>
      </c>
      <c r="S915" s="78">
        <v>14.547276002761306</v>
      </c>
      <c r="T915" s="78">
        <v>602.3327648072277</v>
      </c>
      <c r="U915" s="78">
        <v>3.3220981100884117E-2</v>
      </c>
      <c r="V915" s="78">
        <v>119.59859733116394</v>
      </c>
      <c r="Y915" s="28"/>
      <c r="Z915" s="28"/>
      <c r="AK915" s="28"/>
      <c r="AS915" s="28"/>
      <c r="AT915" s="28"/>
    </row>
    <row r="916" spans="3:46" x14ac:dyDescent="0.15">
      <c r="C916" s="11">
        <v>2.3217648267745972E-2</v>
      </c>
      <c r="D916" s="11">
        <v>2.4070024490356445E-2</v>
      </c>
      <c r="E916" s="11">
        <v>0.17975333513457437</v>
      </c>
      <c r="F916" s="11">
        <v>0</v>
      </c>
      <c r="G916" s="11">
        <v>9.9186897277832031E-3</v>
      </c>
      <c r="H916" s="40">
        <v>6.7964689666391164E-4</v>
      </c>
      <c r="I916" s="40">
        <v>1.4090725995513971</v>
      </c>
      <c r="J916" s="59">
        <v>0</v>
      </c>
      <c r="K916" s="59">
        <v>4037.9469282925129</v>
      </c>
      <c r="L916" s="59">
        <v>0</v>
      </c>
      <c r="M916" s="11">
        <v>0.93387603759765625</v>
      </c>
      <c r="N916" s="11">
        <v>0.72996819019317627</v>
      </c>
      <c r="O916" s="11">
        <v>0.26760411262512207</v>
      </c>
      <c r="Q916" s="59">
        <v>15.992744280652921</v>
      </c>
      <c r="R916" s="78">
        <v>492.53713467273315</v>
      </c>
      <c r="S916" s="78">
        <v>16.090564929317825</v>
      </c>
      <c r="T916" s="78">
        <v>597.08136550543895</v>
      </c>
      <c r="U916" s="78">
        <v>9.7820648664903587E-2</v>
      </c>
      <c r="V916" s="78">
        <v>104.54423083270581</v>
      </c>
      <c r="Y916" s="28"/>
      <c r="Z916" s="28"/>
      <c r="AK916" s="28"/>
      <c r="AS916" s="28"/>
      <c r="AT916" s="28"/>
    </row>
    <row r="917" spans="3:46" x14ac:dyDescent="0.15">
      <c r="C917" s="11">
        <v>2.4285808205604553E-2</v>
      </c>
      <c r="D917" s="11">
        <v>2.9886901378631592E-2</v>
      </c>
      <c r="E917" s="11">
        <v>0.20281187352265875</v>
      </c>
      <c r="F917" s="11">
        <v>0</v>
      </c>
      <c r="G917" s="11">
        <v>3.4564495086669922E-2</v>
      </c>
      <c r="H917" s="40">
        <v>5.646838599115497E-4</v>
      </c>
      <c r="I917" s="40">
        <v>1.4292428707575935</v>
      </c>
      <c r="J917" s="59">
        <v>0</v>
      </c>
      <c r="K917" s="59">
        <v>4568.3467760682106</v>
      </c>
      <c r="L917" s="59">
        <v>0</v>
      </c>
      <c r="M917" s="11">
        <v>0.8828423023223877</v>
      </c>
      <c r="N917" s="11">
        <v>0.82495594024658203</v>
      </c>
      <c r="O917" s="11">
        <v>0.3520195484161377</v>
      </c>
      <c r="Q917" s="59">
        <v>15.158382361390895</v>
      </c>
      <c r="R917" s="78">
        <v>507.47118100525012</v>
      </c>
      <c r="S917" s="78">
        <v>15.203627296236379</v>
      </c>
      <c r="T917" s="78">
        <v>602.41679083427118</v>
      </c>
      <c r="U917" s="78">
        <v>4.5244934845483087E-2</v>
      </c>
      <c r="V917" s="78">
        <v>94.945609829021066</v>
      </c>
      <c r="Y917" s="28"/>
      <c r="Z917" s="28"/>
      <c r="AK917" s="28"/>
      <c r="AS917" s="28"/>
      <c r="AT917" s="28"/>
    </row>
    <row r="918" spans="3:46" x14ac:dyDescent="0.15">
      <c r="C918" s="11">
        <v>2.4166196584701538E-2</v>
      </c>
      <c r="D918" s="11">
        <v>1.2577489018440247E-2</v>
      </c>
      <c r="E918" s="11">
        <v>0.43951378462460805</v>
      </c>
      <c r="F918" s="11">
        <v>0</v>
      </c>
      <c r="G918" s="11">
        <v>4.6608924865722656E-2</v>
      </c>
      <c r="H918" s="40">
        <v>5.5109250511696962E-4</v>
      </c>
      <c r="I918" s="40">
        <v>1.4999185964220361</v>
      </c>
      <c r="J918" s="59">
        <v>0</v>
      </c>
      <c r="K918" s="59">
        <v>5928.7017211318016</v>
      </c>
      <c r="L918" s="59">
        <v>0</v>
      </c>
      <c r="M918" s="11">
        <v>0.8251681923866272</v>
      </c>
      <c r="N918" s="11">
        <v>0.74664461612701416</v>
      </c>
      <c r="O918" s="11">
        <v>0.28991973400115967</v>
      </c>
      <c r="Q918" s="59">
        <v>14.151592873293044</v>
      </c>
      <c r="R918" s="78">
        <v>581.81926181085839</v>
      </c>
      <c r="S918" s="78">
        <v>14.19115620735759</v>
      </c>
      <c r="T918" s="78">
        <v>662.79646155137618</v>
      </c>
      <c r="U918" s="78">
        <v>3.9563334064546041E-2</v>
      </c>
      <c r="V918" s="78">
        <v>80.97719974051779</v>
      </c>
      <c r="Y918" s="28"/>
      <c r="Z918" s="28"/>
      <c r="AK918" s="28"/>
      <c r="AS918" s="28"/>
      <c r="AT918" s="28"/>
    </row>
    <row r="919" spans="3:46" x14ac:dyDescent="0.15">
      <c r="C919" s="11">
        <v>1.4740109443664551E-2</v>
      </c>
      <c r="D919" s="11">
        <v>8.9127570390701294E-3</v>
      </c>
      <c r="E919" s="11">
        <v>0.1851194738133449</v>
      </c>
      <c r="F919" s="11">
        <v>0</v>
      </c>
      <c r="G919" s="11">
        <v>3.5842090845108032E-2</v>
      </c>
      <c r="H919" s="40">
        <v>5.3106030516667077E-4</v>
      </c>
      <c r="I919" s="40">
        <v>1.3777002712465927</v>
      </c>
      <c r="J919" s="59">
        <v>0</v>
      </c>
      <c r="K919" s="59">
        <v>3553.7499934434891</v>
      </c>
      <c r="L919" s="59">
        <v>0</v>
      </c>
      <c r="M919" s="11">
        <v>0.82561635971069336</v>
      </c>
      <c r="N919" s="11">
        <v>0.80811893939971924</v>
      </c>
      <c r="O919" s="11">
        <v>0.29052790999412537</v>
      </c>
      <c r="Q919" s="59">
        <v>14.339329209258992</v>
      </c>
      <c r="R919" s="78">
        <v>467.26876253197901</v>
      </c>
      <c r="S919" s="78">
        <v>14.362906351528441</v>
      </c>
      <c r="T919" s="78">
        <v>592.75419867661276</v>
      </c>
      <c r="U919" s="78">
        <v>2.357714226944907E-2</v>
      </c>
      <c r="V919" s="78">
        <v>125.48543614463375</v>
      </c>
      <c r="Y919" s="28"/>
      <c r="Z919" s="28"/>
      <c r="AK919" s="28"/>
      <c r="AS919" s="28"/>
      <c r="AT919" s="28"/>
    </row>
    <row r="920" spans="3:46" x14ac:dyDescent="0.15">
      <c r="C920" s="11">
        <v>1.6214028000831604E-2</v>
      </c>
      <c r="D920" s="11">
        <v>1.0925441980361938E-2</v>
      </c>
      <c r="E920" s="11">
        <v>0.22038273960821481</v>
      </c>
      <c r="F920" s="11">
        <v>0</v>
      </c>
      <c r="G920" s="11">
        <v>1.7486065626144409E-2</v>
      </c>
      <c r="H920" s="40">
        <v>5.3149780887788332E-4</v>
      </c>
      <c r="I920" s="40">
        <v>1.4983225593323144</v>
      </c>
      <c r="J920" s="59">
        <v>0</v>
      </c>
      <c r="K920" s="59">
        <v>6283.0746173858643</v>
      </c>
      <c r="L920" s="59">
        <v>0</v>
      </c>
      <c r="M920" s="11">
        <v>0.78830790519714355</v>
      </c>
      <c r="N920" s="11">
        <v>0.77191388607025146</v>
      </c>
      <c r="O920" s="11">
        <v>0.35817337036132812</v>
      </c>
      <c r="Q920" s="59">
        <v>13.666039705098028</v>
      </c>
      <c r="R920" s="78">
        <v>558.75048920140239</v>
      </c>
      <c r="S920" s="78">
        <v>13.691211855990089</v>
      </c>
      <c r="T920" s="78">
        <v>616.06785215033176</v>
      </c>
      <c r="U920" s="78">
        <v>2.517215089206104E-2</v>
      </c>
      <c r="V920" s="78">
        <v>57.317362948929372</v>
      </c>
      <c r="Y920" s="28"/>
      <c r="Z920" s="28"/>
      <c r="AK920" s="28"/>
      <c r="AS920" s="28"/>
      <c r="AT920" s="28"/>
    </row>
    <row r="921" spans="3:46" x14ac:dyDescent="0.15">
      <c r="C921" s="11">
        <v>1.5899538993835449E-2</v>
      </c>
      <c r="D921" s="11">
        <v>7.3927789926528931E-3</v>
      </c>
      <c r="E921" s="11">
        <v>0.16875399448502176</v>
      </c>
      <c r="F921" s="11">
        <v>0</v>
      </c>
      <c r="G921" s="11">
        <v>3.1250298023223877E-2</v>
      </c>
      <c r="H921" s="40">
        <v>6.1605975158286481E-4</v>
      </c>
      <c r="I921" s="40">
        <v>1.4104635403909427</v>
      </c>
      <c r="J921" s="59">
        <v>0</v>
      </c>
      <c r="K921" s="59">
        <v>3576.2321203947067</v>
      </c>
      <c r="L921" s="59">
        <v>0</v>
      </c>
      <c r="M921" s="11">
        <v>0.84305298328399658</v>
      </c>
      <c r="N921" s="11">
        <v>0.7841530442237854</v>
      </c>
      <c r="O921" s="11">
        <v>0.33617663383483887</v>
      </c>
      <c r="Q921" s="59">
        <v>14.605573725934336</v>
      </c>
      <c r="R921" s="78">
        <v>485.29201506226724</v>
      </c>
      <c r="S921" s="78">
        <v>14.646114374385993</v>
      </c>
      <c r="T921" s="78">
        <v>594.69456038805663</v>
      </c>
      <c r="U921" s="78">
        <v>4.0540648451656836E-2</v>
      </c>
      <c r="V921" s="78">
        <v>109.40254532578939</v>
      </c>
      <c r="Y921" s="28"/>
      <c r="Z921" s="28"/>
      <c r="AK921" s="28"/>
      <c r="AS921" s="28"/>
      <c r="AT921" s="28"/>
    </row>
    <row r="922" spans="3:46" x14ac:dyDescent="0.15">
      <c r="C922" s="11">
        <v>5.3312182426452637E-3</v>
      </c>
      <c r="D922" s="11">
        <v>2.5582879781723022E-2</v>
      </c>
      <c r="E922" s="11">
        <v>0.42316974577550986</v>
      </c>
      <c r="F922" s="11">
        <v>0</v>
      </c>
      <c r="G922" s="11">
        <v>5.864483118057251E-2</v>
      </c>
      <c r="H922" s="40">
        <v>4.848674905071124E-4</v>
      </c>
      <c r="I922" s="40">
        <v>1.4122307728360135</v>
      </c>
      <c r="J922" s="59">
        <v>0</v>
      </c>
      <c r="K922" s="59">
        <v>5481.403786689043</v>
      </c>
      <c r="L922" s="59">
        <v>0</v>
      </c>
      <c r="M922" s="11">
        <v>0.86448758840560913</v>
      </c>
      <c r="N922" s="11">
        <v>0.81966972351074219</v>
      </c>
      <c r="O922" s="11">
        <v>0.26435697078704834</v>
      </c>
      <c r="Q922" s="59">
        <v>15.138787671567894</v>
      </c>
      <c r="R922" s="78">
        <v>522.06463257620851</v>
      </c>
      <c r="S922" s="78">
        <v>15.167229929579218</v>
      </c>
      <c r="T922" s="78">
        <v>633.73592588161227</v>
      </c>
      <c r="U922" s="78">
        <v>2.8442258011324384E-2</v>
      </c>
      <c r="V922" s="78">
        <v>111.67129330540376</v>
      </c>
      <c r="Y922" s="28"/>
      <c r="Z922" s="28"/>
      <c r="AK922" s="28"/>
      <c r="AS922" s="28"/>
      <c r="AT922" s="28"/>
    </row>
    <row r="923" spans="3:46" x14ac:dyDescent="0.15">
      <c r="C923" s="11">
        <v>5.2926063537597656E-2</v>
      </c>
      <c r="D923" s="11">
        <v>1.3833969831466675E-2</v>
      </c>
      <c r="E923" s="11">
        <v>0.30158989324399976</v>
      </c>
      <c r="F923" s="11">
        <v>0</v>
      </c>
      <c r="G923" s="11">
        <v>3.1628787517547607E-2</v>
      </c>
      <c r="H923" s="40">
        <v>3.9912865367858392E-4</v>
      </c>
      <c r="I923" s="40">
        <v>1.4535900342104269</v>
      </c>
      <c r="J923" s="59">
        <v>0</v>
      </c>
      <c r="K923" s="59">
        <v>6201.2998387217522</v>
      </c>
      <c r="L923" s="59">
        <v>0</v>
      </c>
      <c r="M923" s="11">
        <v>0.88009840250015259</v>
      </c>
      <c r="N923" s="11">
        <v>0.7340472936630249</v>
      </c>
      <c r="O923" s="11">
        <v>0.30767998099327087</v>
      </c>
      <c r="Q923" s="59">
        <v>14.661654086494558</v>
      </c>
      <c r="R923" s="78">
        <v>506.72147930242841</v>
      </c>
      <c r="S923" s="78">
        <v>14.704189705291627</v>
      </c>
      <c r="T923" s="78">
        <v>613.39813522951158</v>
      </c>
      <c r="U923" s="78">
        <v>4.2535618797069574E-2</v>
      </c>
      <c r="V923" s="78">
        <v>106.67665592708317</v>
      </c>
      <c r="Y923" s="28"/>
      <c r="Z923" s="28"/>
      <c r="AK923" s="28"/>
      <c r="AS923" s="28"/>
      <c r="AT923" s="28"/>
    </row>
    <row r="924" spans="3:46" x14ac:dyDescent="0.15">
      <c r="C924" s="11">
        <v>1.3425752520561218E-2</v>
      </c>
      <c r="D924" s="11">
        <v>2.038121223449707E-2</v>
      </c>
      <c r="E924" s="11">
        <v>0.24825925032938062</v>
      </c>
      <c r="F924" s="11">
        <v>0</v>
      </c>
      <c r="G924" s="11">
        <v>2.122083306312561E-2</v>
      </c>
      <c r="H924" s="40">
        <v>3.4586879187957601E-4</v>
      </c>
      <c r="I924" s="40">
        <v>1.5512139226759187</v>
      </c>
      <c r="J924" s="59">
        <v>0</v>
      </c>
      <c r="K924" s="59">
        <v>4867.5434663891792</v>
      </c>
      <c r="L924" s="59">
        <v>0</v>
      </c>
      <c r="M924" s="11">
        <v>0.84129726886749268</v>
      </c>
      <c r="N924" s="11">
        <v>0.76066553592681885</v>
      </c>
      <c r="O924" s="11">
        <v>0.34468245506286621</v>
      </c>
      <c r="Q924" s="59">
        <v>14.60972819615005</v>
      </c>
      <c r="R924" s="78">
        <v>494.00467255789624</v>
      </c>
      <c r="S924" s="78">
        <v>14.647895168363226</v>
      </c>
      <c r="T924" s="78">
        <v>604.21809787283428</v>
      </c>
      <c r="U924" s="78">
        <v>3.8166972213176109E-2</v>
      </c>
      <c r="V924" s="78">
        <v>110.21342531493804</v>
      </c>
      <c r="Y924" s="28"/>
      <c r="Z924" s="28"/>
      <c r="AK924" s="28"/>
      <c r="AS924" s="28"/>
      <c r="AT924" s="28"/>
    </row>
    <row r="925" spans="3:46" x14ac:dyDescent="0.15">
      <c r="C925" s="11">
        <v>7.3247402906417847E-3</v>
      </c>
      <c r="D925" s="11">
        <v>1.4184862375259399E-2</v>
      </c>
      <c r="E925" s="11">
        <v>0.16962075330736462</v>
      </c>
      <c r="F925" s="11">
        <v>0</v>
      </c>
      <c r="G925" s="11">
        <v>4.2394131422042847E-2</v>
      </c>
      <c r="H925" s="40">
        <v>4.0909071500383812E-4</v>
      </c>
      <c r="I925" s="40">
        <v>1.4758643635130535</v>
      </c>
      <c r="J925" s="59">
        <v>0</v>
      </c>
      <c r="K925" s="59">
        <v>6507.1950666606426</v>
      </c>
      <c r="L925" s="59">
        <v>0</v>
      </c>
      <c r="M925" s="11">
        <v>0.89025342464447021</v>
      </c>
      <c r="N925" s="11">
        <v>0.79996931552886963</v>
      </c>
      <c r="O925" s="11">
        <v>0.27046537399291992</v>
      </c>
      <c r="Q925" s="59">
        <v>15.551810780482247</v>
      </c>
      <c r="R925" s="78">
        <v>537.22039863804753</v>
      </c>
      <c r="S925" s="78">
        <v>15.599848510802898</v>
      </c>
      <c r="T925" s="78">
        <v>603.66872962499349</v>
      </c>
      <c r="U925" s="78">
        <v>4.8037730320650951E-2</v>
      </c>
      <c r="V925" s="78">
        <v>66.448330986945962</v>
      </c>
      <c r="Y925" s="28"/>
      <c r="Z925" s="28"/>
      <c r="AK925" s="28"/>
      <c r="AS925" s="28"/>
      <c r="AT925" s="28"/>
    </row>
    <row r="926" spans="3:46" x14ac:dyDescent="0.15">
      <c r="C926" s="11">
        <v>7.8119933605194092E-3</v>
      </c>
      <c r="D926" s="11">
        <v>5.5832266807556152E-3</v>
      </c>
      <c r="E926" s="11">
        <v>0.44213919934536111</v>
      </c>
      <c r="F926" s="11">
        <v>0</v>
      </c>
      <c r="G926" s="11">
        <v>4.5103847980499268E-2</v>
      </c>
      <c r="H926" s="40">
        <v>4.2516159678163135E-4</v>
      </c>
      <c r="I926" s="40">
        <v>1.5219248120957631</v>
      </c>
      <c r="J926" s="59">
        <v>0</v>
      </c>
      <c r="K926" s="59">
        <v>4800.5091957747936</v>
      </c>
      <c r="L926" s="59">
        <v>0</v>
      </c>
      <c r="M926" s="11">
        <v>0.83620423078536987</v>
      </c>
      <c r="N926" s="11">
        <v>0.76185834407806396</v>
      </c>
      <c r="O926" s="11">
        <v>0.28351366519927979</v>
      </c>
      <c r="Q926" s="59">
        <v>14.597811649978878</v>
      </c>
      <c r="R926" s="78">
        <v>521.1504418963076</v>
      </c>
      <c r="S926" s="78">
        <v>14.629316952669633</v>
      </c>
      <c r="T926" s="78">
        <v>635.92468114240603</v>
      </c>
      <c r="U926" s="78">
        <v>3.1505302690755244E-2</v>
      </c>
      <c r="V926" s="78">
        <v>114.77423924609843</v>
      </c>
      <c r="Y926" s="28"/>
      <c r="Z926" s="28"/>
      <c r="AK926" s="28"/>
      <c r="AS926" s="28"/>
      <c r="AT926" s="28"/>
    </row>
    <row r="927" spans="3:46" x14ac:dyDescent="0.15">
      <c r="C927" s="11">
        <v>2.7765929698944092E-2</v>
      </c>
      <c r="D927" s="11">
        <v>2.2141039371490479E-2</v>
      </c>
      <c r="E927" s="11">
        <v>0.266194733946436</v>
      </c>
      <c r="F927" s="11">
        <v>0</v>
      </c>
      <c r="G927" s="11">
        <v>2.0321041345596313E-2</v>
      </c>
      <c r="H927" s="40">
        <v>3.748099689738715E-4</v>
      </c>
      <c r="I927" s="40">
        <v>1.7093030507434546</v>
      </c>
      <c r="J927" s="59">
        <v>0</v>
      </c>
      <c r="K927" s="59">
        <v>3523.9709541201591</v>
      </c>
      <c r="L927" s="59">
        <v>0</v>
      </c>
      <c r="M927" s="11">
        <v>0.80923914909362793</v>
      </c>
      <c r="N927" s="11">
        <v>0.80106747150421143</v>
      </c>
      <c r="O927" s="11">
        <v>0.27507728338241577</v>
      </c>
      <c r="Q927" s="59">
        <v>13.844642831123158</v>
      </c>
      <c r="R927" s="78">
        <v>514.76034201178174</v>
      </c>
      <c r="S927" s="78">
        <v>13.882665557082346</v>
      </c>
      <c r="T927" s="78">
        <v>612.07895322492345</v>
      </c>
      <c r="U927" s="78">
        <v>3.8022725959187653E-2</v>
      </c>
      <c r="V927" s="78">
        <v>97.318611213141708</v>
      </c>
      <c r="Y927" s="28"/>
      <c r="Z927" s="28"/>
      <c r="AK927" s="28"/>
      <c r="AS927" s="28"/>
      <c r="AT927" s="28"/>
    </row>
    <row r="928" spans="3:46" x14ac:dyDescent="0.15">
      <c r="C928" s="11">
        <v>5.2675008773803711E-3</v>
      </c>
      <c r="D928" s="11">
        <v>8.2968622446060181E-3</v>
      </c>
      <c r="E928" s="11">
        <v>0.27986335327669648</v>
      </c>
      <c r="F928" s="11">
        <v>0</v>
      </c>
      <c r="G928" s="11">
        <v>2.5634318590164185E-2</v>
      </c>
      <c r="H928" s="40">
        <v>4.6428843541316178E-4</v>
      </c>
      <c r="I928" s="40">
        <v>1.4476203389646121</v>
      </c>
      <c r="J928" s="59">
        <v>0</v>
      </c>
      <c r="K928" s="59">
        <v>6425.6042242050171</v>
      </c>
      <c r="L928" s="59">
        <v>0</v>
      </c>
      <c r="M928" s="11">
        <v>0.83043581247329712</v>
      </c>
      <c r="N928" s="11">
        <v>0.81603646278381348</v>
      </c>
      <c r="O928" s="11">
        <v>0.3394046425819397</v>
      </c>
      <c r="Q928" s="59">
        <v>14.564058193167119</v>
      </c>
      <c r="R928" s="78">
        <v>529.44373642392929</v>
      </c>
      <c r="S928" s="78">
        <v>14.583470477162145</v>
      </c>
      <c r="T928" s="78">
        <v>617.43619296392569</v>
      </c>
      <c r="U928" s="78">
        <v>1.9412283995025703E-2</v>
      </c>
      <c r="V928" s="78">
        <v>87.992456539996397</v>
      </c>
      <c r="Y928" s="28"/>
      <c r="Z928" s="28"/>
      <c r="AK928" s="28"/>
      <c r="AS928" s="28"/>
      <c r="AT928" s="28"/>
    </row>
    <row r="929" spans="3:46" x14ac:dyDescent="0.15">
      <c r="C929" s="11">
        <v>7.0261657238006592E-3</v>
      </c>
      <c r="D929" s="11">
        <v>1.5367940068244934E-2</v>
      </c>
      <c r="E929" s="11">
        <v>0.5962608355777641</v>
      </c>
      <c r="F929" s="11">
        <v>0</v>
      </c>
      <c r="G929" s="11">
        <v>3.2934039831161499E-2</v>
      </c>
      <c r="H929" s="40">
        <v>5.4153183900275349E-4</v>
      </c>
      <c r="I929" s="40">
        <v>1.461379305445017</v>
      </c>
      <c r="J929" s="59">
        <v>0</v>
      </c>
      <c r="K929" s="59">
        <v>3948.2256397604942</v>
      </c>
      <c r="L929" s="59">
        <v>0</v>
      </c>
      <c r="M929" s="11">
        <v>0.8249974250793457</v>
      </c>
      <c r="N929" s="11">
        <v>0.76845020055770874</v>
      </c>
      <c r="O929" s="11">
        <v>0.31079578399658203</v>
      </c>
      <c r="Q929" s="59">
        <v>14.416614466248223</v>
      </c>
      <c r="R929" s="78">
        <v>498.46829358551844</v>
      </c>
      <c r="S929" s="78">
        <v>14.437817167248035</v>
      </c>
      <c r="T929" s="78">
        <v>641.8791652325184</v>
      </c>
      <c r="U929" s="78">
        <v>2.1202700999811697E-2</v>
      </c>
      <c r="V929" s="78">
        <v>143.41087164699996</v>
      </c>
      <c r="Y929" s="28"/>
      <c r="Z929" s="28"/>
      <c r="AK929" s="28"/>
      <c r="AS929" s="28"/>
      <c r="AT929" s="28"/>
    </row>
    <row r="930" spans="3:46" x14ac:dyDescent="0.15">
      <c r="C930" s="11">
        <v>2.6462078094482422E-3</v>
      </c>
      <c r="D930" s="11">
        <v>1.519322395324707E-2</v>
      </c>
      <c r="E930" s="11">
        <v>0.34843089076494405</v>
      </c>
      <c r="F930" s="11">
        <v>0</v>
      </c>
      <c r="G930" s="11">
        <v>7.139277458190918E-2</v>
      </c>
      <c r="H930" s="40">
        <v>3.8011118072571996E-4</v>
      </c>
      <c r="I930" s="40">
        <v>1.5101554521815019</v>
      </c>
      <c r="J930" s="59">
        <v>0</v>
      </c>
      <c r="K930" s="59">
        <v>4266.2257328629494</v>
      </c>
      <c r="L930" s="59">
        <v>0</v>
      </c>
      <c r="M930" s="11">
        <v>0.82138538360595703</v>
      </c>
      <c r="N930" s="11">
        <v>0.69242429733276367</v>
      </c>
      <c r="O930" s="11">
        <v>0.32783770561218262</v>
      </c>
      <c r="Q930" s="59">
        <v>14.401099748029035</v>
      </c>
      <c r="R930" s="78">
        <v>504.41203147483719</v>
      </c>
      <c r="S930" s="78">
        <v>14.445781656001753</v>
      </c>
      <c r="T930" s="78">
        <v>617.94692818326791</v>
      </c>
      <c r="U930" s="78">
        <v>4.4681907972718093E-2</v>
      </c>
      <c r="V930" s="78">
        <v>113.53489670843072</v>
      </c>
      <c r="Y930" s="28"/>
      <c r="Z930" s="28"/>
      <c r="AK930" s="28"/>
      <c r="AS930" s="28"/>
      <c r="AT930" s="28"/>
    </row>
    <row r="931" spans="3:46" x14ac:dyDescent="0.15">
      <c r="C931" s="11">
        <v>5.1127791404724121E-2</v>
      </c>
      <c r="D931" s="11">
        <v>2.8033792972564697E-2</v>
      </c>
      <c r="E931" s="11">
        <v>0.25535154201010479</v>
      </c>
      <c r="F931" s="11">
        <v>0</v>
      </c>
      <c r="G931" s="11">
        <v>4.7963172197341919E-2</v>
      </c>
      <c r="H931" s="40">
        <v>5.0072135030142522E-4</v>
      </c>
      <c r="I931" s="40">
        <v>1.3385589466325092</v>
      </c>
      <c r="J931" s="59">
        <v>0</v>
      </c>
      <c r="K931" s="59">
        <v>3715.3251469135284</v>
      </c>
      <c r="L931" s="59">
        <v>0</v>
      </c>
      <c r="M931" s="11">
        <v>0.84280878305435181</v>
      </c>
      <c r="N931" s="11">
        <v>0.68163013458251953</v>
      </c>
      <c r="O931" s="11">
        <v>0.3012581467628479</v>
      </c>
      <c r="Q931" s="59">
        <v>14.064352806603447</v>
      </c>
      <c r="R931" s="78">
        <v>459.80980865001413</v>
      </c>
      <c r="S931" s="78">
        <v>14.109981913117425</v>
      </c>
      <c r="T931" s="78">
        <v>595.98041291967297</v>
      </c>
      <c r="U931" s="78">
        <v>4.5629106513978002E-2</v>
      </c>
      <c r="V931" s="78">
        <v>136.17060426965884</v>
      </c>
      <c r="Y931" s="28"/>
      <c r="Z931" s="28"/>
      <c r="AK931" s="28"/>
      <c r="AS931" s="28"/>
      <c r="AT931" s="28"/>
    </row>
    <row r="932" spans="3:46" x14ac:dyDescent="0.15">
      <c r="C932" s="11">
        <v>4.2697668075561523E-2</v>
      </c>
      <c r="D932" s="11">
        <v>2.2275298833847046E-2</v>
      </c>
      <c r="E932" s="11">
        <v>0.36260558230732709</v>
      </c>
      <c r="F932" s="11">
        <v>0</v>
      </c>
      <c r="G932" s="11">
        <v>2.171778678894043E-2</v>
      </c>
      <c r="H932" s="40">
        <v>4.6279685403724605E-4</v>
      </c>
      <c r="I932" s="40">
        <v>1.3945569736808061</v>
      </c>
      <c r="J932" s="59">
        <v>0</v>
      </c>
      <c r="K932" s="59">
        <v>7781.0697257518768</v>
      </c>
      <c r="L932" s="59">
        <v>0</v>
      </c>
      <c r="M932" s="11">
        <v>0.86587151885032654</v>
      </c>
      <c r="N932" s="11">
        <v>0.67067646980285645</v>
      </c>
      <c r="O932" s="11">
        <v>0.32656794786453247</v>
      </c>
      <c r="Q932" s="59">
        <v>14.569471153069273</v>
      </c>
      <c r="R932" s="78">
        <v>525.6969668513326</v>
      </c>
      <c r="S932" s="78">
        <v>14.614993121943742</v>
      </c>
      <c r="T932" s="78">
        <v>627.24600148384479</v>
      </c>
      <c r="U932" s="78">
        <v>4.5521968874469465E-2</v>
      </c>
      <c r="V932" s="78">
        <v>101.54903463251219</v>
      </c>
      <c r="Y932" s="28"/>
      <c r="Z932" s="28"/>
      <c r="AK932" s="28"/>
      <c r="AS932" s="28"/>
      <c r="AT932" s="28"/>
    </row>
    <row r="933" spans="3:46" x14ac:dyDescent="0.15">
      <c r="C933" s="11">
        <v>3.9591610431671143E-2</v>
      </c>
      <c r="D933" s="11">
        <v>5.2077531814575195E-2</v>
      </c>
      <c r="E933" s="11">
        <v>0.31614296191704788</v>
      </c>
      <c r="F933" s="11">
        <v>0</v>
      </c>
      <c r="G933" s="11">
        <v>8.5047245025634766E-2</v>
      </c>
      <c r="H933" s="40">
        <v>4.5960029235106057E-4</v>
      </c>
      <c r="I933" s="40">
        <v>1.615983440273755</v>
      </c>
      <c r="J933" s="59">
        <v>0</v>
      </c>
      <c r="K933" s="59">
        <v>4890.8987082540989</v>
      </c>
      <c r="L933" s="59">
        <v>0</v>
      </c>
      <c r="M933" s="11">
        <v>0.91947555541992188</v>
      </c>
      <c r="N933" s="11">
        <v>0.7105708122253418</v>
      </c>
      <c r="O933" s="11">
        <v>0.30392593145370483</v>
      </c>
      <c r="Q933" s="59">
        <v>15.419725328714675</v>
      </c>
      <c r="R933" s="78">
        <v>598.94065189184062</v>
      </c>
      <c r="S933" s="78">
        <v>15.540305037638626</v>
      </c>
      <c r="T933" s="78">
        <v>645.25242432727543</v>
      </c>
      <c r="U933" s="78">
        <v>0.12057970892395176</v>
      </c>
      <c r="V933" s="78">
        <v>46.311772435434818</v>
      </c>
      <c r="Y933" s="28"/>
      <c r="Z933" s="28"/>
      <c r="AK933" s="28"/>
      <c r="AS933" s="28"/>
      <c r="AT933" s="28"/>
    </row>
    <row r="934" spans="3:46" x14ac:dyDescent="0.15">
      <c r="C934" s="11">
        <v>2.0591869950294495E-2</v>
      </c>
      <c r="D934" s="11">
        <v>1.1529549956321716E-2</v>
      </c>
      <c r="E934" s="11">
        <v>0.14939511491562069</v>
      </c>
      <c r="F934" s="11">
        <v>0</v>
      </c>
      <c r="G934" s="11">
        <v>5.9311568737030029E-2</v>
      </c>
      <c r="H934" s="40">
        <v>4.8286252474545713E-4</v>
      </c>
      <c r="I934" s="40">
        <v>1.4153477703939046</v>
      </c>
      <c r="J934" s="59">
        <v>0</v>
      </c>
      <c r="K934" s="59">
        <v>4708.475898951292</v>
      </c>
      <c r="L934" s="59">
        <v>0</v>
      </c>
      <c r="M934" s="11">
        <v>0.88871216773986816</v>
      </c>
      <c r="N934" s="11">
        <v>0.73985165357589722</v>
      </c>
      <c r="O934" s="11">
        <v>0.30700647830963135</v>
      </c>
      <c r="Q934" s="59">
        <v>15.302205681906678</v>
      </c>
      <c r="R934" s="78">
        <v>503.77296618176155</v>
      </c>
      <c r="S934" s="78">
        <v>15.363587902451151</v>
      </c>
      <c r="T934" s="78">
        <v>595.64414477882769</v>
      </c>
      <c r="U934" s="78">
        <v>6.1382220544473398E-2</v>
      </c>
      <c r="V934" s="78">
        <v>91.871178597066148</v>
      </c>
      <c r="Y934" s="28"/>
      <c r="Z934" s="28"/>
      <c r="AK934" s="28"/>
      <c r="AS934" s="28"/>
      <c r="AT934" s="28"/>
    </row>
    <row r="935" spans="3:46" x14ac:dyDescent="0.15">
      <c r="C935" s="11">
        <v>2.1165609359741211E-3</v>
      </c>
      <c r="D935" s="11">
        <v>2.1730750799179077E-2</v>
      </c>
      <c r="E935" s="11">
        <v>0.26799807267297576</v>
      </c>
      <c r="F935" s="11">
        <v>0</v>
      </c>
      <c r="G935" s="11">
        <v>5.4961532354354858E-2</v>
      </c>
      <c r="H935" s="40">
        <v>7.9519764912984242E-4</v>
      </c>
      <c r="I935" s="40">
        <v>1.369391105897523</v>
      </c>
      <c r="J935" s="59">
        <v>0</v>
      </c>
      <c r="K935" s="59">
        <v>4797.6570203900337</v>
      </c>
      <c r="L935" s="59">
        <v>0</v>
      </c>
      <c r="M935" s="11">
        <v>0.86622780561447144</v>
      </c>
      <c r="N935" s="11">
        <v>0.78381681442260742</v>
      </c>
      <c r="O935" s="11">
        <v>0.30205908417701721</v>
      </c>
      <c r="Q935" s="59">
        <v>15.187379904625722</v>
      </c>
      <c r="R935" s="78">
        <v>553.16476050987956</v>
      </c>
      <c r="S935" s="78">
        <v>15.24615251614855</v>
      </c>
      <c r="T935" s="78">
        <v>622.42482505473276</v>
      </c>
      <c r="U935" s="78">
        <v>5.87726115228282E-2</v>
      </c>
      <c r="V935" s="78">
        <v>69.260064544853208</v>
      </c>
      <c r="Y935" s="28"/>
      <c r="Z935" s="28"/>
      <c r="AK935" s="28"/>
      <c r="AS935" s="28"/>
      <c r="AT935" s="28"/>
    </row>
    <row r="936" spans="3:46" x14ac:dyDescent="0.15">
      <c r="C936" s="11">
        <v>2.2763684391975403E-2</v>
      </c>
      <c r="D936" s="11">
        <v>2.3527160286903381E-2</v>
      </c>
      <c r="E936" s="11">
        <v>0.56640933723577858</v>
      </c>
      <c r="F936" s="11">
        <v>0</v>
      </c>
      <c r="G936" s="11">
        <v>2.7720808982849121E-2</v>
      </c>
      <c r="H936" s="40">
        <v>4.8754850875258046E-4</v>
      </c>
      <c r="I936" s="40">
        <v>1.4043789559605477</v>
      </c>
      <c r="J936" s="59">
        <v>0</v>
      </c>
      <c r="K936" s="59">
        <v>4645.113367587328</v>
      </c>
      <c r="L936" s="59">
        <v>0</v>
      </c>
      <c r="M936" s="11">
        <v>0.87591773271560669</v>
      </c>
      <c r="N936" s="11">
        <v>0.73294097185134888</v>
      </c>
      <c r="O936" s="11">
        <v>0.35533571243286133</v>
      </c>
      <c r="Q936" s="59">
        <v>15.053951061531565</v>
      </c>
      <c r="R936" s="78">
        <v>483.91257908458647</v>
      </c>
      <c r="S936" s="78">
        <v>15.082119502534416</v>
      </c>
      <c r="T936" s="78">
        <v>630.31236060742367</v>
      </c>
      <c r="U936" s="78">
        <v>2.8168441002851097E-2</v>
      </c>
      <c r="V936" s="78">
        <v>146.3997815228372</v>
      </c>
      <c r="Y936" s="28"/>
      <c r="Z936" s="28"/>
      <c r="AK936" s="28"/>
      <c r="AS936" s="28"/>
      <c r="AT936" s="28"/>
    </row>
    <row r="937" spans="3:46" x14ac:dyDescent="0.15">
      <c r="C937" s="11">
        <v>1.1333808302879333E-2</v>
      </c>
      <c r="D937" s="11">
        <v>2.253425121307373E-2</v>
      </c>
      <c r="E937" s="11">
        <v>0.38556629751853028</v>
      </c>
      <c r="F937" s="11">
        <v>0</v>
      </c>
      <c r="G937" s="11">
        <v>6.5674185752868652E-2</v>
      </c>
      <c r="H937" s="40">
        <v>6.5229173977272294E-4</v>
      </c>
      <c r="I937" s="40">
        <v>1.3772056902671685</v>
      </c>
      <c r="J937" s="59">
        <v>0</v>
      </c>
      <c r="K937" s="59">
        <v>5655.7427160441875</v>
      </c>
      <c r="L937" s="59">
        <v>0</v>
      </c>
      <c r="M937" s="11">
        <v>0.87055045366287231</v>
      </c>
      <c r="N937" s="11">
        <v>0.81536388397216797</v>
      </c>
      <c r="O937" s="11">
        <v>0.31612128019332886</v>
      </c>
      <c r="Q937" s="59">
        <v>15.142162580606335</v>
      </c>
      <c r="R937" s="78">
        <v>558.2064725300396</v>
      </c>
      <c r="S937" s="78">
        <v>15.179040242706559</v>
      </c>
      <c r="T937" s="78">
        <v>643.11232148328008</v>
      </c>
      <c r="U937" s="78">
        <v>3.6877662100224029E-2</v>
      </c>
      <c r="V937" s="78">
        <v>84.905848953240479</v>
      </c>
      <c r="Y937" s="28"/>
      <c r="Z937" s="28"/>
      <c r="AK937" s="28"/>
      <c r="AS937" s="28"/>
      <c r="AT937" s="28"/>
    </row>
    <row r="938" spans="3:46" x14ac:dyDescent="0.15">
      <c r="C938" s="11">
        <v>6.8061202764511108E-3</v>
      </c>
      <c r="D938" s="11">
        <v>1.2893065810203552E-2</v>
      </c>
      <c r="E938" s="11">
        <v>0.27235877455349738</v>
      </c>
      <c r="F938" s="11">
        <v>0</v>
      </c>
      <c r="G938" s="11">
        <v>2.1470099687576294E-2</v>
      </c>
      <c r="H938" s="40">
        <v>5.9041760971613412E-4</v>
      </c>
      <c r="I938" s="40">
        <v>1.3678130939848436</v>
      </c>
      <c r="J938" s="59">
        <v>0</v>
      </c>
      <c r="K938" s="59">
        <v>5455.678328871727</v>
      </c>
      <c r="L938" s="59">
        <v>0</v>
      </c>
      <c r="M938" s="11">
        <v>0.86016440391540527</v>
      </c>
      <c r="N938" s="11">
        <v>0.79237425327301025</v>
      </c>
      <c r="O938" s="11">
        <v>0.31412625312805176</v>
      </c>
      <c r="Q938" s="59">
        <v>15.043837650182486</v>
      </c>
      <c r="R938" s="78">
        <v>506.67574808286594</v>
      </c>
      <c r="S938" s="78">
        <v>15.077350151401443</v>
      </c>
      <c r="T938" s="78">
        <v>610.10802114710543</v>
      </c>
      <c r="U938" s="78">
        <v>3.351250121895788E-2</v>
      </c>
      <c r="V938" s="78">
        <v>103.4322730642395</v>
      </c>
      <c r="Y938" s="28"/>
      <c r="Z938" s="28"/>
      <c r="AK938" s="28"/>
      <c r="AS938" s="28"/>
      <c r="AT938" s="28"/>
    </row>
    <row r="939" spans="3:46" x14ac:dyDescent="0.15">
      <c r="C939" s="11">
        <v>1.9336089491844177E-2</v>
      </c>
      <c r="D939" s="11">
        <v>2.1235033869743347E-2</v>
      </c>
      <c r="E939" s="11">
        <v>0.22122339778480804</v>
      </c>
      <c r="F939" s="11">
        <v>0</v>
      </c>
      <c r="G939" s="11">
        <v>4.359513521194458E-2</v>
      </c>
      <c r="H939" s="40">
        <v>3.6139584228601224E-4</v>
      </c>
      <c r="I939" s="40">
        <v>1.5007175762222282</v>
      </c>
      <c r="J939" s="59">
        <v>0</v>
      </c>
      <c r="K939" s="59">
        <v>6807.2020076215267</v>
      </c>
      <c r="L939" s="59">
        <v>0</v>
      </c>
      <c r="M939" s="11">
        <v>0.86727344989776611</v>
      </c>
      <c r="N939" s="11">
        <v>0.69569802284240723</v>
      </c>
      <c r="O939" s="11">
        <v>0.32606720924377441</v>
      </c>
      <c r="Q939" s="59">
        <v>14.94783486503416</v>
      </c>
      <c r="R939" s="78">
        <v>535.28981279690618</v>
      </c>
      <c r="S939" s="78">
        <v>15.006060485762408</v>
      </c>
      <c r="T939" s="78">
        <v>610.69275352657792</v>
      </c>
      <c r="U939" s="78">
        <v>5.8225620728247662E-2</v>
      </c>
      <c r="V939" s="78">
        <v>75.402940729671741</v>
      </c>
      <c r="Y939" s="28"/>
      <c r="Z939" s="28"/>
      <c r="AK939" s="28"/>
      <c r="AS939" s="28"/>
      <c r="AT939" s="28"/>
    </row>
    <row r="940" spans="3:46" x14ac:dyDescent="0.15">
      <c r="C940" s="11">
        <v>2.0403116941452026E-2</v>
      </c>
      <c r="D940" s="11">
        <v>6.3886046409606934E-3</v>
      </c>
      <c r="E940" s="11">
        <v>0.36851156134638213</v>
      </c>
      <c r="F940" s="11">
        <v>0</v>
      </c>
      <c r="G940" s="11">
        <v>3.0809223651885986E-2</v>
      </c>
      <c r="H940" s="40">
        <v>3.8416237562997397E-4</v>
      </c>
      <c r="I940" s="40">
        <v>1.5534383780079444</v>
      </c>
      <c r="J940" s="59">
        <v>0</v>
      </c>
      <c r="K940" s="59">
        <v>5364.4296713173389</v>
      </c>
      <c r="L940" s="59">
        <v>0</v>
      </c>
      <c r="M940" s="11">
        <v>0.82720541954040527</v>
      </c>
      <c r="N940" s="11">
        <v>0.73869436979293823</v>
      </c>
      <c r="O940" s="11">
        <v>0.26877802610397339</v>
      </c>
      <c r="Q940" s="59">
        <v>14.254163916159689</v>
      </c>
      <c r="R940" s="78">
        <v>523.09424643876866</v>
      </c>
      <c r="S940" s="78">
        <v>14.291123946359509</v>
      </c>
      <c r="T940" s="78">
        <v>627.26691463734244</v>
      </c>
      <c r="U940" s="78">
        <v>3.6960030199820082E-2</v>
      </c>
      <c r="V940" s="78">
        <v>104.17266819857377</v>
      </c>
      <c r="Y940" s="28"/>
      <c r="Z940" s="28"/>
      <c r="AK940" s="28"/>
      <c r="AS940" s="28"/>
      <c r="AT940" s="28"/>
    </row>
    <row r="941" spans="3:46" x14ac:dyDescent="0.15">
      <c r="C941" s="11">
        <v>1.9882634282112122E-2</v>
      </c>
      <c r="D941" s="11">
        <v>1.880943775177002E-3</v>
      </c>
      <c r="E941" s="11">
        <v>0.27838274095588339</v>
      </c>
      <c r="F941" s="11">
        <v>0</v>
      </c>
      <c r="G941" s="11">
        <v>2.9416203498840332E-2</v>
      </c>
      <c r="H941" s="40">
        <v>3.1509794684033614E-4</v>
      </c>
      <c r="I941" s="40">
        <v>1.5009185211919156</v>
      </c>
      <c r="J941" s="59">
        <v>0</v>
      </c>
      <c r="K941" s="59">
        <v>5457.6271213591099</v>
      </c>
      <c r="L941" s="59">
        <v>0</v>
      </c>
      <c r="M941" s="11">
        <v>0.84985911846160889</v>
      </c>
      <c r="N941" s="11">
        <v>0.71886926889419556</v>
      </c>
      <c r="O941" s="11">
        <v>0.28951838612556458</v>
      </c>
      <c r="Q941" s="59">
        <v>14.662262656826421</v>
      </c>
      <c r="R941" s="78">
        <v>486.37347167371729</v>
      </c>
      <c r="S941" s="78">
        <v>14.698749272726694</v>
      </c>
      <c r="T941" s="78">
        <v>605.0090840955047</v>
      </c>
      <c r="U941" s="78">
        <v>3.6486615900273023E-2</v>
      </c>
      <c r="V941" s="78">
        <v>118.63561242178741</v>
      </c>
      <c r="Y941" s="28"/>
      <c r="Z941" s="28"/>
      <c r="AK941" s="28"/>
      <c r="AS941" s="28"/>
      <c r="AT941" s="28"/>
    </row>
    <row r="942" spans="3:46" x14ac:dyDescent="0.15">
      <c r="C942" s="11">
        <v>2.4570763111114502E-2</v>
      </c>
      <c r="D942" s="11">
        <v>9.5676779747009277E-3</v>
      </c>
      <c r="E942" s="11">
        <v>0.19714230747554534</v>
      </c>
      <c r="F942" s="11">
        <v>0</v>
      </c>
      <c r="G942" s="11">
        <v>3.5241007804870605E-2</v>
      </c>
      <c r="H942" s="40">
        <v>5.781196865909978E-4</v>
      </c>
      <c r="I942" s="40">
        <v>1.4839616645638813</v>
      </c>
      <c r="J942" s="59">
        <v>0</v>
      </c>
      <c r="K942" s="59">
        <v>7095.634937286377</v>
      </c>
      <c r="L942" s="59">
        <v>0</v>
      </c>
      <c r="M942" s="11">
        <v>0.86763852834701538</v>
      </c>
      <c r="N942" s="11">
        <v>0.76718908548355103</v>
      </c>
      <c r="O942" s="11">
        <v>0.27330410480499268</v>
      </c>
      <c r="Q942" s="59">
        <v>14.86836666082157</v>
      </c>
      <c r="R942" s="78">
        <v>606.53208140860306</v>
      </c>
      <c r="S942" s="78">
        <v>14.932726631840914</v>
      </c>
      <c r="T942" s="78">
        <v>621.81428253005663</v>
      </c>
      <c r="U942" s="78">
        <v>6.4359971019344542E-2</v>
      </c>
      <c r="V942" s="78">
        <v>15.282201121453568</v>
      </c>
      <c r="Y942" s="28"/>
      <c r="Z942" s="28"/>
      <c r="AK942" s="28"/>
      <c r="AS942" s="28"/>
      <c r="AT942" s="28"/>
    </row>
    <row r="943" spans="3:46" x14ac:dyDescent="0.15">
      <c r="C943" s="11">
        <v>1.6825035214424133E-2</v>
      </c>
      <c r="D943" s="11">
        <v>1.279100775718689E-2</v>
      </c>
      <c r="E943" s="11">
        <v>0.22827994954807601</v>
      </c>
      <c r="F943" s="11">
        <v>0</v>
      </c>
      <c r="G943" s="11">
        <v>3.4764260053634644E-2</v>
      </c>
      <c r="H943" s="40">
        <v>5.5136171776964255E-4</v>
      </c>
      <c r="I943" s="40">
        <v>1.4498047119728399</v>
      </c>
      <c r="J943" s="59">
        <v>0</v>
      </c>
      <c r="K943" s="59">
        <v>4937.3065121471882</v>
      </c>
      <c r="L943" s="59">
        <v>0</v>
      </c>
      <c r="M943" s="11">
        <v>0.81136298179626465</v>
      </c>
      <c r="N943" s="11">
        <v>0.77306139469146729</v>
      </c>
      <c r="O943" s="11">
        <v>0.2612917423248291</v>
      </c>
      <c r="Q943" s="59">
        <v>14.043763489770216</v>
      </c>
      <c r="R943" s="78">
        <v>522.69021393744435</v>
      </c>
      <c r="S943" s="78">
        <v>14.079556125700631</v>
      </c>
      <c r="T943" s="78">
        <v>608.899648620584</v>
      </c>
      <c r="U943" s="78">
        <v>3.5792635930414818E-2</v>
      </c>
      <c r="V943" s="78">
        <v>86.209434683139648</v>
      </c>
      <c r="Y943" s="28"/>
      <c r="Z943" s="28"/>
      <c r="AK943" s="28"/>
      <c r="AS943" s="28"/>
      <c r="AT943" s="28"/>
    </row>
    <row r="944" spans="3:46" x14ac:dyDescent="0.15">
      <c r="C944" s="11">
        <v>1.4999121427536011E-2</v>
      </c>
      <c r="D944" s="11">
        <v>9.9817961454391479E-3</v>
      </c>
      <c r="E944" s="11">
        <v>0.30064870310551023</v>
      </c>
      <c r="F944" s="11">
        <v>0</v>
      </c>
      <c r="G944" s="11">
        <v>3.9333432912826538E-2</v>
      </c>
      <c r="H944" s="40">
        <v>4.2366392019326031E-4</v>
      </c>
      <c r="I944" s="40">
        <v>1.498028461335547</v>
      </c>
      <c r="J944" s="59">
        <v>0</v>
      </c>
      <c r="K944" s="59">
        <v>4969.064611941576</v>
      </c>
      <c r="L944" s="59">
        <v>0</v>
      </c>
      <c r="M944" s="11">
        <v>0.87705892324447632</v>
      </c>
      <c r="N944" s="11">
        <v>0.72804951667785645</v>
      </c>
      <c r="O944" s="11">
        <v>0.27316850423812866</v>
      </c>
      <c r="Q944" s="59">
        <v>15.180266864093529</v>
      </c>
      <c r="R944" s="78">
        <v>511.97518057495415</v>
      </c>
      <c r="S944" s="78">
        <v>15.235369411156364</v>
      </c>
      <c r="T944" s="78">
        <v>614.98592994838623</v>
      </c>
      <c r="U944" s="78">
        <v>5.5102547062835683E-2</v>
      </c>
      <c r="V944" s="78">
        <v>103.01074937343208</v>
      </c>
      <c r="Y944" s="28"/>
      <c r="Z944" s="28"/>
      <c r="AK944" s="28"/>
      <c r="AS944" s="28"/>
      <c r="AT944" s="28"/>
    </row>
    <row r="945" spans="3:46" x14ac:dyDescent="0.15">
      <c r="C945" s="11">
        <v>1.5944138169288635E-2</v>
      </c>
      <c r="D945" s="11">
        <v>3.0133992433547974E-2</v>
      </c>
      <c r="E945" s="11">
        <v>0.43385528180848287</v>
      </c>
      <c r="F945" s="11">
        <v>0</v>
      </c>
      <c r="G945" s="11">
        <v>1.8422126770019531E-2</v>
      </c>
      <c r="H945" s="40">
        <v>5.0403290391935285E-4</v>
      </c>
      <c r="I945" s="40">
        <v>1.3923862104230216</v>
      </c>
      <c r="J945" s="59">
        <v>0</v>
      </c>
      <c r="K945" s="59">
        <v>2920.590341091156</v>
      </c>
      <c r="L945" s="59">
        <v>0</v>
      </c>
      <c r="M945" s="11">
        <v>0.84196674823760986</v>
      </c>
      <c r="N945" s="11">
        <v>0.72017776966094971</v>
      </c>
      <c r="O945" s="11">
        <v>0.26862412691116333</v>
      </c>
      <c r="Q945" s="59">
        <v>14.572997748409973</v>
      </c>
      <c r="R945" s="78">
        <v>447.79778639396039</v>
      </c>
      <c r="S945" s="78">
        <v>14.607811656048051</v>
      </c>
      <c r="T945" s="78">
        <v>602.57190742679347</v>
      </c>
      <c r="U945" s="78">
        <v>3.4813907638078234E-2</v>
      </c>
      <c r="V945" s="78">
        <v>154.77412103283308</v>
      </c>
      <c r="Y945" s="28"/>
      <c r="Z945" s="28"/>
      <c r="AK945" s="28"/>
      <c r="AS945" s="28"/>
      <c r="AT945" s="28"/>
    </row>
    <row r="946" spans="3:46" x14ac:dyDescent="0.15">
      <c r="C946" s="11">
        <v>1.1861041188240051E-2</v>
      </c>
      <c r="D946" s="11">
        <v>3.4479498863220215E-2</v>
      </c>
      <c r="E946" s="11">
        <v>0.32946757872427562</v>
      </c>
      <c r="F946" s="11">
        <v>0</v>
      </c>
      <c r="G946" s="11">
        <v>4.1351824998855591E-2</v>
      </c>
      <c r="H946" s="40">
        <v>7.1107238543608386E-4</v>
      </c>
      <c r="I946" s="40">
        <v>1.3843355280962653</v>
      </c>
      <c r="J946" s="59">
        <v>0</v>
      </c>
      <c r="K946" s="59">
        <v>4519.7037979960442</v>
      </c>
      <c r="L946" s="59">
        <v>0</v>
      </c>
      <c r="M946" s="11">
        <v>0.88040566444396973</v>
      </c>
      <c r="N946" s="11">
        <v>0.72295564413070679</v>
      </c>
      <c r="O946" s="11">
        <v>0.30806642770767212</v>
      </c>
      <c r="Q946" s="59">
        <v>15.261221369809599</v>
      </c>
      <c r="R946" s="78">
        <v>523.567883004701</v>
      </c>
      <c r="S946" s="78">
        <v>15.33130512017215</v>
      </c>
      <c r="T946" s="78">
        <v>622.35995183919204</v>
      </c>
      <c r="U946" s="78">
        <v>7.00837503625511E-2</v>
      </c>
      <c r="V946" s="78">
        <v>98.792068834491033</v>
      </c>
      <c r="Y946" s="28"/>
      <c r="Z946" s="28"/>
      <c r="AK946" s="28"/>
      <c r="AS946" s="28"/>
      <c r="AT946" s="28"/>
    </row>
    <row r="947" spans="3:46" x14ac:dyDescent="0.15">
      <c r="C947" s="11">
        <v>5.8385133743286133E-2</v>
      </c>
      <c r="D947" s="11">
        <v>2.8434574604034424E-2</v>
      </c>
      <c r="E947" s="11">
        <v>0.316810521029179</v>
      </c>
      <c r="F947" s="11">
        <v>0</v>
      </c>
      <c r="G947" s="11">
        <v>1.5230476856231689E-2</v>
      </c>
      <c r="H947" s="40">
        <v>5.986955444138482E-4</v>
      </c>
      <c r="I947" s="40">
        <v>1.5330515122297508</v>
      </c>
      <c r="J947" s="59">
        <v>0</v>
      </c>
      <c r="K947" s="59">
        <v>4402.7809053659439</v>
      </c>
      <c r="L947" s="59">
        <v>0</v>
      </c>
      <c r="M947" s="11">
        <v>0.86711111664772034</v>
      </c>
      <c r="N947" s="11">
        <v>0.7461390495300293</v>
      </c>
      <c r="O947" s="11">
        <v>0.30447554588317871</v>
      </c>
      <c r="Q947" s="59">
        <v>14.318207578303468</v>
      </c>
      <c r="R947" s="78">
        <v>528.83526467858599</v>
      </c>
      <c r="S947" s="78">
        <v>14.388275967810916</v>
      </c>
      <c r="T947" s="78">
        <v>622.71294710116456</v>
      </c>
      <c r="U947" s="78">
        <v>7.0068389507447648E-2</v>
      </c>
      <c r="V947" s="78">
        <v>93.877682422578573</v>
      </c>
      <c r="Y947" s="28"/>
      <c r="Z947" s="28"/>
      <c r="AK947" s="28"/>
      <c r="AS947" s="28"/>
      <c r="AT947" s="28"/>
    </row>
    <row r="948" spans="3:46" x14ac:dyDescent="0.15">
      <c r="C948" s="11">
        <v>9.1634839773178101E-3</v>
      </c>
      <c r="D948" s="11">
        <v>1.6060426831245422E-2</v>
      </c>
      <c r="E948" s="11">
        <v>0.30403836751789537</v>
      </c>
      <c r="F948" s="11">
        <v>0</v>
      </c>
      <c r="G948" s="11">
        <v>5.6031346321105957E-2</v>
      </c>
      <c r="H948" s="40">
        <v>5.9238261106690825E-4</v>
      </c>
      <c r="I948" s="40">
        <v>1.4041520016967597</v>
      </c>
      <c r="J948" s="59">
        <v>0</v>
      </c>
      <c r="K948" s="59">
        <v>5643.9056061208248</v>
      </c>
      <c r="L948" s="59">
        <v>0</v>
      </c>
      <c r="M948" s="11">
        <v>0.87621176242828369</v>
      </c>
      <c r="N948" s="11">
        <v>0.79591584205627441</v>
      </c>
      <c r="O948" s="11">
        <v>0.3431401252746582</v>
      </c>
      <c r="Q948" s="59">
        <v>15.272693110124758</v>
      </c>
      <c r="R948" s="78">
        <v>548.96042322194398</v>
      </c>
      <c r="S948" s="78">
        <v>15.315880141424898</v>
      </c>
      <c r="T948" s="78">
        <v>626.79201840590736</v>
      </c>
      <c r="U948" s="78">
        <v>4.3187031300140788E-2</v>
      </c>
      <c r="V948" s="78">
        <v>77.831595183963373</v>
      </c>
      <c r="Y948" s="28"/>
      <c r="Z948" s="28"/>
      <c r="AK948" s="28"/>
      <c r="AS948" s="28"/>
      <c r="AT948" s="28"/>
    </row>
    <row r="949" spans="3:46" x14ac:dyDescent="0.15">
      <c r="C949" s="11">
        <v>7.7082663774490356E-3</v>
      </c>
      <c r="D949" s="11">
        <v>3.9720535278320312E-2</v>
      </c>
      <c r="E949" s="11">
        <v>0.79847909873898326</v>
      </c>
      <c r="F949" s="11">
        <v>0</v>
      </c>
      <c r="G949" s="11">
        <v>1.0119080543518066E-2</v>
      </c>
      <c r="H949" s="40">
        <v>4.4924020942896034E-4</v>
      </c>
      <c r="I949" s="40">
        <v>1.5270584300327834</v>
      </c>
      <c r="J949" s="59">
        <v>0</v>
      </c>
      <c r="K949" s="59">
        <v>5758.6305774748325</v>
      </c>
      <c r="L949" s="59">
        <v>0</v>
      </c>
      <c r="M949" s="11">
        <v>0.84984123706817627</v>
      </c>
      <c r="N949" s="11">
        <v>0.76056313514709473</v>
      </c>
      <c r="O949" s="11">
        <v>0.28158324956893921</v>
      </c>
      <c r="Q949" s="59">
        <v>14.823170005402599</v>
      </c>
      <c r="R949" s="78">
        <v>527.8488240161256</v>
      </c>
      <c r="S949" s="78">
        <v>14.837418681878768</v>
      </c>
      <c r="T949" s="78">
        <v>686.41423409152287</v>
      </c>
      <c r="U949" s="78">
        <v>1.4248676476169564E-2</v>
      </c>
      <c r="V949" s="78">
        <v>158.56541007539727</v>
      </c>
      <c r="Y949" s="28"/>
      <c r="Z949" s="28"/>
      <c r="AK949" s="28"/>
      <c r="AS949" s="28"/>
      <c r="AT949" s="28"/>
    </row>
    <row r="950" spans="3:46" x14ac:dyDescent="0.15">
      <c r="C950" s="11">
        <v>2.6543945074081421E-2</v>
      </c>
      <c r="D950" s="11">
        <v>3.1545162200927734E-3</v>
      </c>
      <c r="E950" s="11">
        <v>0.31313748713745776</v>
      </c>
      <c r="F950" s="11">
        <v>0</v>
      </c>
      <c r="G950" s="11">
        <v>4.5546948909759521E-2</v>
      </c>
      <c r="H950" s="40">
        <v>3.8202329876634971E-4</v>
      </c>
      <c r="I950" s="40">
        <v>1.5404063836561475</v>
      </c>
      <c r="J950" s="59">
        <v>0</v>
      </c>
      <c r="K950" s="59">
        <v>6657.2870127856731</v>
      </c>
      <c r="L950" s="59">
        <v>0</v>
      </c>
      <c r="M950" s="11">
        <v>0.84636086225509644</v>
      </c>
      <c r="N950" s="11">
        <v>0.80826425552368164</v>
      </c>
      <c r="O950" s="11">
        <v>0.28466701507568359</v>
      </c>
      <c r="Q950" s="59">
        <v>14.511412364317625</v>
      </c>
      <c r="R950" s="78">
        <v>558.75055479070852</v>
      </c>
      <c r="S950" s="78">
        <v>14.539690403250106</v>
      </c>
      <c r="T950" s="78">
        <v>631.35686229718044</v>
      </c>
      <c r="U950" s="78">
        <v>2.8278038932480598E-2</v>
      </c>
      <c r="V950" s="78">
        <v>72.606307506471921</v>
      </c>
      <c r="Y950" s="28"/>
      <c r="Z950" s="28"/>
      <c r="AK950" s="28"/>
      <c r="AS950" s="28"/>
      <c r="AT950" s="28"/>
    </row>
    <row r="951" spans="3:46" x14ac:dyDescent="0.15">
      <c r="C951" s="11">
        <v>1.0390385985374451E-2</v>
      </c>
      <c r="D951" s="11">
        <v>3.8861334323883057E-2</v>
      </c>
      <c r="E951" s="11">
        <v>0.31809626505526623</v>
      </c>
      <c r="F951" s="11">
        <v>0</v>
      </c>
      <c r="G951" s="11">
        <v>2.979356050491333E-2</v>
      </c>
      <c r="H951" s="40">
        <v>4.9557129999460749E-4</v>
      </c>
      <c r="I951" s="40">
        <v>1.447249843726691</v>
      </c>
      <c r="J951" s="59">
        <v>0</v>
      </c>
      <c r="K951" s="59">
        <v>7522.7208435535431</v>
      </c>
      <c r="L951" s="59">
        <v>0</v>
      </c>
      <c r="M951" s="11">
        <v>0.88117319345474243</v>
      </c>
      <c r="N951" s="11">
        <v>0.70063185691833496</v>
      </c>
      <c r="O951" s="11">
        <v>0.28577393293380737</v>
      </c>
      <c r="Q951" s="59">
        <v>15.306259093435971</v>
      </c>
      <c r="R951" s="78">
        <v>564.8856041124468</v>
      </c>
      <c r="S951" s="78">
        <v>15.371707501991063</v>
      </c>
      <c r="T951" s="78">
        <v>634.12249336381387</v>
      </c>
      <c r="U951" s="78">
        <v>6.544840855509193E-2</v>
      </c>
      <c r="V951" s="78">
        <v>69.236889251367074</v>
      </c>
      <c r="Y951" s="28"/>
      <c r="Z951" s="28"/>
      <c r="AK951" s="28"/>
      <c r="AS951" s="28"/>
      <c r="AT951" s="28"/>
    </row>
    <row r="952" spans="3:46" x14ac:dyDescent="0.15">
      <c r="C952" s="11">
        <v>3.0860871076583862E-2</v>
      </c>
      <c r="D952" s="11">
        <v>1.9557297229766846E-2</v>
      </c>
      <c r="E952" s="11">
        <v>0.43968036695049334</v>
      </c>
      <c r="F952" s="11">
        <v>0</v>
      </c>
      <c r="G952" s="11">
        <v>4.2513549327850342E-2</v>
      </c>
      <c r="H952" s="40">
        <v>5.7106353005050405E-4</v>
      </c>
      <c r="I952" s="40">
        <v>1.4418507768607911</v>
      </c>
      <c r="J952" s="59">
        <v>0</v>
      </c>
      <c r="K952" s="59">
        <v>6098.6028984189034</v>
      </c>
      <c r="L952" s="59">
        <v>0</v>
      </c>
      <c r="M952" s="11">
        <v>0.87065339088439941</v>
      </c>
      <c r="N952" s="11">
        <v>0.7419237494468689</v>
      </c>
      <c r="O952" s="11">
        <v>0.27332323789596558</v>
      </c>
      <c r="Q952" s="59">
        <v>14.819191435276585</v>
      </c>
      <c r="R952" s="78">
        <v>558.68871364191409</v>
      </c>
      <c r="S952" s="78">
        <v>14.866295822051708</v>
      </c>
      <c r="T952" s="78">
        <v>652.34077362549715</v>
      </c>
      <c r="U952" s="78">
        <v>4.7104386775123075E-2</v>
      </c>
      <c r="V952" s="78">
        <v>93.652059983583058</v>
      </c>
      <c r="Y952" s="28"/>
      <c r="Z952" s="28"/>
      <c r="AK952" s="28"/>
      <c r="AS952" s="28"/>
      <c r="AT952" s="28"/>
    </row>
    <row r="953" spans="3:46" x14ac:dyDescent="0.15">
      <c r="C953" s="11">
        <v>4.49351966381073E-3</v>
      </c>
      <c r="D953" s="11">
        <v>8.5374116897583008E-3</v>
      </c>
      <c r="E953" s="11">
        <v>0.21630126898845764</v>
      </c>
      <c r="F953" s="11">
        <v>0</v>
      </c>
      <c r="G953" s="11">
        <v>4.3622225522994995E-2</v>
      </c>
      <c r="H953" s="40">
        <v>5.0355570862286182E-4</v>
      </c>
      <c r="I953" s="40">
        <v>1.4888048272169456</v>
      </c>
      <c r="J953" s="59">
        <v>0</v>
      </c>
      <c r="K953" s="59">
        <v>5747.1008040010929</v>
      </c>
      <c r="L953" s="59">
        <v>0</v>
      </c>
      <c r="M953" s="11">
        <v>0.77720975875854492</v>
      </c>
      <c r="N953" s="11">
        <v>0.7226569652557373</v>
      </c>
      <c r="O953" s="11">
        <v>0.26808619499206543</v>
      </c>
      <c r="Q953" s="59">
        <v>13.614400599850969</v>
      </c>
      <c r="R953" s="78">
        <v>556.59387186600691</v>
      </c>
      <c r="S953" s="78">
        <v>13.655065824817129</v>
      </c>
      <c r="T953" s="78">
        <v>614.82810765021395</v>
      </c>
      <c r="U953" s="78">
        <v>4.0665224966160096E-2</v>
      </c>
      <c r="V953" s="78">
        <v>58.234235784207044</v>
      </c>
      <c r="Y953" s="28"/>
      <c r="Z953" s="28"/>
      <c r="AK953" s="28"/>
      <c r="AS953" s="28"/>
      <c r="AT953" s="28"/>
    </row>
    <row r="954" spans="3:46" x14ac:dyDescent="0.15">
      <c r="C954" s="11">
        <v>6.7101716995239258E-3</v>
      </c>
      <c r="D954" s="11">
        <v>9.1557055711746216E-3</v>
      </c>
      <c r="E954" s="11">
        <v>0.30248073505743067</v>
      </c>
      <c r="F954" s="11">
        <v>0</v>
      </c>
      <c r="G954" s="11">
        <v>1.7480432987213135E-2</v>
      </c>
      <c r="H954" s="40">
        <v>5.2948106892469087E-4</v>
      </c>
      <c r="I954" s="40">
        <v>1.425351245363722</v>
      </c>
      <c r="J954" s="59">
        <v>0</v>
      </c>
      <c r="K954" s="59">
        <v>7629.9998909235001</v>
      </c>
      <c r="L954" s="59">
        <v>0</v>
      </c>
      <c r="M954" s="11">
        <v>0.88040006160736084</v>
      </c>
      <c r="N954" s="11">
        <v>0.73990541696548462</v>
      </c>
      <c r="O954" s="11">
        <v>0.31352770328521729</v>
      </c>
      <c r="Q954" s="59">
        <v>15.374322815262186</v>
      </c>
      <c r="R954" s="78">
        <v>557.2396097820847</v>
      </c>
      <c r="S954" s="78">
        <v>15.424427231947567</v>
      </c>
      <c r="T954" s="78">
        <v>629.08942517770129</v>
      </c>
      <c r="U954" s="78">
        <v>5.0104416685380571E-2</v>
      </c>
      <c r="V954" s="78">
        <v>71.849815395616588</v>
      </c>
      <c r="Y954" s="28"/>
      <c r="Z954" s="28"/>
      <c r="AK954" s="28"/>
      <c r="AS954" s="28"/>
      <c r="AT954" s="28"/>
    </row>
    <row r="955" spans="3:46" x14ac:dyDescent="0.15">
      <c r="C955" s="11">
        <v>2.425229549407959E-2</v>
      </c>
      <c r="D955" s="11">
        <v>3.5647094249725342E-2</v>
      </c>
      <c r="E955" s="11">
        <v>0.3051571028284733</v>
      </c>
      <c r="F955" s="11">
        <v>0</v>
      </c>
      <c r="G955" s="11">
        <v>4.327884316444397E-2</v>
      </c>
      <c r="H955" s="40">
        <v>3.9532453041082627E-4</v>
      </c>
      <c r="I955" s="40">
        <v>1.4658652540033841</v>
      </c>
      <c r="J955" s="59">
        <v>0</v>
      </c>
      <c r="K955" s="59">
        <v>4910.0257456302643</v>
      </c>
      <c r="L955" s="59">
        <v>0</v>
      </c>
      <c r="M955" s="11">
        <v>0.81066727638244629</v>
      </c>
      <c r="N955" s="11">
        <v>0.7691919207572937</v>
      </c>
      <c r="O955" s="11">
        <v>0.32602769136428833</v>
      </c>
      <c r="Q955" s="59">
        <v>13.930994127946994</v>
      </c>
      <c r="R955" s="78">
        <v>493.62075510268215</v>
      </c>
      <c r="S955" s="78">
        <v>13.959314076916264</v>
      </c>
      <c r="T955" s="78">
        <v>609.76630781845677</v>
      </c>
      <c r="U955" s="78">
        <v>2.8319948969270925E-2</v>
      </c>
      <c r="V955" s="78">
        <v>116.14555271577461</v>
      </c>
      <c r="Y955" s="28"/>
      <c r="Z955" s="28"/>
      <c r="AK955" s="28"/>
      <c r="AS955" s="28"/>
      <c r="AT955" s="28"/>
    </row>
    <row r="956" spans="3:46" x14ac:dyDescent="0.15">
      <c r="C956" s="11">
        <v>8.7599754333496094E-3</v>
      </c>
      <c r="D956" s="11">
        <v>2.5477379560470581E-2</v>
      </c>
      <c r="E956" s="11">
        <v>0.28732739685738401</v>
      </c>
      <c r="F956" s="11">
        <v>0</v>
      </c>
      <c r="G956" s="11">
        <v>4.4984221458435059E-2</v>
      </c>
      <c r="H956" s="40">
        <v>5.8083582263805048E-4</v>
      </c>
      <c r="I956" s="40">
        <v>1.4396048430323205</v>
      </c>
      <c r="J956" s="59">
        <v>0</v>
      </c>
      <c r="K956" s="59">
        <v>3638.7518048286438</v>
      </c>
      <c r="L956" s="59">
        <v>0</v>
      </c>
      <c r="M956" s="11">
        <v>0.84945189952850342</v>
      </c>
      <c r="N956" s="11">
        <v>0.7551501989364624</v>
      </c>
      <c r="O956" s="11">
        <v>0.25011956691741943</v>
      </c>
      <c r="Q956" s="59">
        <v>14.794732495367999</v>
      </c>
      <c r="R956" s="78">
        <v>496.59690175428864</v>
      </c>
      <c r="S956" s="78">
        <v>14.850021465136715</v>
      </c>
      <c r="T956" s="78">
        <v>608.96572028799483</v>
      </c>
      <c r="U956" s="78">
        <v>5.5288969768716001E-2</v>
      </c>
      <c r="V956" s="78">
        <v>112.36881853370619</v>
      </c>
      <c r="Y956" s="28"/>
      <c r="Z956" s="28"/>
      <c r="AK956" s="28"/>
      <c r="AS956" s="28"/>
      <c r="AT956" s="28"/>
    </row>
    <row r="957" spans="3:46" x14ac:dyDescent="0.15">
      <c r="C957" s="11">
        <v>1.1867821216583252E-2</v>
      </c>
      <c r="D957" s="11">
        <v>5.6675374507904053E-3</v>
      </c>
      <c r="E957" s="11">
        <v>0.23698003288778077</v>
      </c>
      <c r="F957" s="11">
        <v>0</v>
      </c>
      <c r="G957" s="11">
        <v>7.2529792785644531E-2</v>
      </c>
      <c r="H957" s="40">
        <v>3.452466747665392E-4</v>
      </c>
      <c r="I957" s="40">
        <v>1.4786569433527967</v>
      </c>
      <c r="J957" s="59">
        <v>0</v>
      </c>
      <c r="K957" s="59">
        <v>4173.8199070096016</v>
      </c>
      <c r="L957" s="59">
        <v>0</v>
      </c>
      <c r="M957" s="11">
        <v>0.86694449186325073</v>
      </c>
      <c r="N957" s="11">
        <v>0.68834257125854492</v>
      </c>
      <c r="O957" s="11">
        <v>0.23896503448486328</v>
      </c>
      <c r="Q957" s="59">
        <v>15.059398414210753</v>
      </c>
      <c r="R957" s="78">
        <v>483.80059788553132</v>
      </c>
      <c r="S957" s="78">
        <v>15.114256965111867</v>
      </c>
      <c r="T957" s="78">
        <v>600.53203829686106</v>
      </c>
      <c r="U957" s="78">
        <v>5.4858550901114356E-2</v>
      </c>
      <c r="V957" s="78">
        <v>116.73144041132974</v>
      </c>
      <c r="Y957" s="28"/>
      <c r="Z957" s="28"/>
      <c r="AK957" s="28"/>
      <c r="AS957" s="28"/>
      <c r="AT957" s="28"/>
    </row>
    <row r="958" spans="3:46" x14ac:dyDescent="0.15">
      <c r="C958" s="11">
        <v>5.0114870071411133E-2</v>
      </c>
      <c r="D958" s="11">
        <v>1.900734007358551E-2</v>
      </c>
      <c r="E958" s="11">
        <v>0.45074322379835979</v>
      </c>
      <c r="F958" s="11">
        <v>0</v>
      </c>
      <c r="G958" s="11">
        <v>3.699183464050293E-2</v>
      </c>
      <c r="H958" s="40">
        <v>3.2044261181470496E-4</v>
      </c>
      <c r="I958" s="40">
        <v>1.5279654990797649</v>
      </c>
      <c r="J958" s="59">
        <v>0</v>
      </c>
      <c r="K958" s="59">
        <v>3628.2651126384735</v>
      </c>
      <c r="L958" s="59">
        <v>0</v>
      </c>
      <c r="M958" s="11">
        <v>0.81412136554718018</v>
      </c>
      <c r="N958" s="11">
        <v>0.76653832197189331</v>
      </c>
      <c r="O958" s="11">
        <v>0.33177030086517334</v>
      </c>
      <c r="Q958" s="59">
        <v>13.624326780932172</v>
      </c>
      <c r="R958" s="78">
        <v>461.85851144966648</v>
      </c>
      <c r="S958" s="78">
        <v>13.643532851829592</v>
      </c>
      <c r="T958" s="78">
        <v>609.88118911456627</v>
      </c>
      <c r="U958" s="78">
        <v>1.9206070897419991E-2</v>
      </c>
      <c r="V958" s="78">
        <v>148.02267766489979</v>
      </c>
      <c r="Y958" s="28"/>
      <c r="Z958" s="28"/>
      <c r="AK958" s="28"/>
      <c r="AS958" s="28"/>
      <c r="AT958" s="28"/>
    </row>
    <row r="959" spans="3:46" x14ac:dyDescent="0.15">
      <c r="C959" s="11">
        <v>1.8010213971138E-2</v>
      </c>
      <c r="D959" s="11">
        <v>1.5393659472465515E-2</v>
      </c>
      <c r="E959" s="11">
        <v>0.45648304661814565</v>
      </c>
      <c r="F959" s="11">
        <v>0</v>
      </c>
      <c r="G959" s="11">
        <v>2.1857321262359619E-2</v>
      </c>
      <c r="H959" s="40">
        <v>6.2667328475788048E-4</v>
      </c>
      <c r="I959" s="40">
        <v>1.4677730021151758</v>
      </c>
      <c r="J959" s="59">
        <v>0</v>
      </c>
      <c r="K959" s="59">
        <v>4294.3772859871387</v>
      </c>
      <c r="L959" s="59">
        <v>0</v>
      </c>
      <c r="M959" s="11">
        <v>0.80243480205535889</v>
      </c>
      <c r="N959" s="11">
        <v>0.82233023643493652</v>
      </c>
      <c r="O959" s="11">
        <v>0.32633310556411743</v>
      </c>
      <c r="Q959" s="59">
        <v>13.893956602510485</v>
      </c>
      <c r="R959" s="78">
        <v>518.01035253131272</v>
      </c>
      <c r="S959" s="78">
        <v>13.907110901438209</v>
      </c>
      <c r="T959" s="78">
        <v>636.4730163103394</v>
      </c>
      <c r="U959" s="78">
        <v>1.3154298927723573E-2</v>
      </c>
      <c r="V959" s="78">
        <v>118.46266377902668</v>
      </c>
      <c r="Y959" s="28"/>
      <c r="Z959" s="28"/>
      <c r="AK959" s="28"/>
      <c r="AS959" s="28"/>
      <c r="AT959" s="28"/>
    </row>
    <row r="960" spans="3:46" x14ac:dyDescent="0.15">
      <c r="C960" s="11">
        <v>1.2429282069206238E-2</v>
      </c>
      <c r="D960" s="11">
        <v>1.9312798976898193E-2</v>
      </c>
      <c r="E960" s="11">
        <v>0.20987515447406749</v>
      </c>
      <c r="F960" s="11">
        <v>0</v>
      </c>
      <c r="G960" s="11">
        <v>3.1522005796432495E-2</v>
      </c>
      <c r="H960" s="40">
        <v>3.7455642808895085E-4</v>
      </c>
      <c r="I960" s="40">
        <v>1.5178268419203182</v>
      </c>
      <c r="J960" s="59">
        <v>0</v>
      </c>
      <c r="K960" s="59">
        <v>3858.017735183239</v>
      </c>
      <c r="L960" s="59">
        <v>0</v>
      </c>
      <c r="M960" s="11">
        <v>0.86227384209632874</v>
      </c>
      <c r="N960" s="11">
        <v>0.78306180238723755</v>
      </c>
      <c r="O960" s="11">
        <v>0.30610179901123047</v>
      </c>
      <c r="Q960" s="59">
        <v>14.987963699087393</v>
      </c>
      <c r="R960" s="78">
        <v>476.51347777449365</v>
      </c>
      <c r="S960" s="78">
        <v>15.030080892639567</v>
      </c>
      <c r="T960" s="78">
        <v>596.59056853600237</v>
      </c>
      <c r="U960" s="78">
        <v>4.211719355217447E-2</v>
      </c>
      <c r="V960" s="78">
        <v>120.07709076150871</v>
      </c>
      <c r="Y960" s="28"/>
      <c r="Z960" s="28"/>
      <c r="AK960" s="28"/>
      <c r="AS960" s="28"/>
      <c r="AT960" s="28"/>
    </row>
    <row r="961" spans="3:46" x14ac:dyDescent="0.15">
      <c r="C961" s="11">
        <v>2.3690998554229736E-2</v>
      </c>
      <c r="D961" s="11">
        <v>7.2706639766693115E-3</v>
      </c>
      <c r="E961" s="11">
        <v>0.15776414559977295</v>
      </c>
      <c r="F961" s="11">
        <v>0</v>
      </c>
      <c r="G961" s="11">
        <v>5.2606821060180664E-2</v>
      </c>
      <c r="H961" s="40">
        <v>3.5425777640808926E-4</v>
      </c>
      <c r="I961" s="40">
        <v>1.5495385605541594</v>
      </c>
      <c r="J961" s="59">
        <v>0</v>
      </c>
      <c r="K961" s="59">
        <v>5673.3563542366028</v>
      </c>
      <c r="L961" s="59">
        <v>0</v>
      </c>
      <c r="M961" s="11">
        <v>0.87523412704467773</v>
      </c>
      <c r="N961" s="11">
        <v>0.77649366855621338</v>
      </c>
      <c r="O961" s="11">
        <v>0.35668325424194336</v>
      </c>
      <c r="Q961" s="59">
        <v>15.03496760766401</v>
      </c>
      <c r="R961" s="78">
        <v>532.68477129854386</v>
      </c>
      <c r="S961" s="78">
        <v>15.084081886985356</v>
      </c>
      <c r="T961" s="78">
        <v>601.26054640288737</v>
      </c>
      <c r="U961" s="78">
        <v>4.9114279321345933E-2</v>
      </c>
      <c r="V961" s="78">
        <v>68.575775104343506</v>
      </c>
      <c r="Y961" s="28"/>
      <c r="Z961" s="28"/>
      <c r="AK961" s="28"/>
      <c r="AS961" s="28"/>
      <c r="AT961" s="28"/>
    </row>
    <row r="962" spans="3:46" x14ac:dyDescent="0.15">
      <c r="C962" s="11">
        <v>3.2782137393951416E-2</v>
      </c>
      <c r="D962" s="11">
        <v>1.1982843279838562E-2</v>
      </c>
      <c r="E962" s="11">
        <v>0.3133246066934674</v>
      </c>
      <c r="F962" s="11">
        <v>0</v>
      </c>
      <c r="G962" s="11">
        <v>4.0875136852264404E-2</v>
      </c>
      <c r="H962" s="40">
        <v>3.6014206076084371E-4</v>
      </c>
      <c r="I962" s="40">
        <v>1.558387733807385</v>
      </c>
      <c r="J962" s="59">
        <v>0</v>
      </c>
      <c r="K962" s="59">
        <v>5321.7494860291481</v>
      </c>
      <c r="L962" s="59">
        <v>0</v>
      </c>
      <c r="M962" s="11">
        <v>0.83961412310600281</v>
      </c>
      <c r="N962" s="11">
        <v>0.71762800216674805</v>
      </c>
      <c r="O962" s="11">
        <v>0.28025287389755249</v>
      </c>
      <c r="Q962" s="59">
        <v>14.274879022780267</v>
      </c>
      <c r="R962" s="78">
        <v>520.73662259764785</v>
      </c>
      <c r="S962" s="78">
        <v>14.322242761169091</v>
      </c>
      <c r="T962" s="78">
        <v>619.30559681691886</v>
      </c>
      <c r="U962" s="78">
        <v>4.7363738388824572E-2</v>
      </c>
      <c r="V962" s="78">
        <v>98.568974219271013</v>
      </c>
      <c r="Y962" s="28"/>
      <c r="Z962" s="28"/>
      <c r="AK962" s="28"/>
      <c r="AS962" s="28"/>
      <c r="AT962" s="28"/>
    </row>
    <row r="963" spans="3:46" x14ac:dyDescent="0.15">
      <c r="C963" s="11">
        <v>9.6504837274551392E-3</v>
      </c>
      <c r="D963" s="11">
        <v>7.4125528335571289E-3</v>
      </c>
      <c r="E963" s="11">
        <v>0.15766653002283307</v>
      </c>
      <c r="F963" s="11">
        <v>0</v>
      </c>
      <c r="G963" s="11">
        <v>8.8941574096679688E-2</v>
      </c>
      <c r="H963" s="40">
        <v>5.3877189377762738E-4</v>
      </c>
      <c r="I963" s="40">
        <v>1.3754115026681055</v>
      </c>
      <c r="J963" s="59">
        <v>0</v>
      </c>
      <c r="K963" s="59">
        <v>4255.8927088975906</v>
      </c>
      <c r="L963" s="59">
        <v>0</v>
      </c>
      <c r="M963" s="11">
        <v>0.82745957374572754</v>
      </c>
      <c r="N963" s="11">
        <v>0.68437862396240234</v>
      </c>
      <c r="O963" s="11">
        <v>0.29356318712234497</v>
      </c>
      <c r="Q963" s="59">
        <v>14.404526284568504</v>
      </c>
      <c r="R963" s="78">
        <v>507.02056448222544</v>
      </c>
      <c r="S963" s="78">
        <v>14.463576036844399</v>
      </c>
      <c r="T963" s="78">
        <v>597.06996152246188</v>
      </c>
      <c r="U963" s="78">
        <v>5.9049752275894818E-2</v>
      </c>
      <c r="V963" s="78">
        <v>90.049397040236443</v>
      </c>
      <c r="Y963" s="28"/>
      <c r="Z963" s="28"/>
      <c r="AK963" s="28"/>
      <c r="AS963" s="28"/>
      <c r="AT963" s="28"/>
    </row>
    <row r="964" spans="3:46" x14ac:dyDescent="0.15">
      <c r="C964" s="11">
        <v>2.2528797388076782E-2</v>
      </c>
      <c r="D964" s="11">
        <v>9.4699561595916748E-3</v>
      </c>
      <c r="E964" s="11">
        <v>0.53548544831452383</v>
      </c>
      <c r="F964" s="11">
        <v>0</v>
      </c>
      <c r="G964" s="11">
        <v>1.5673220157623291E-2</v>
      </c>
      <c r="H964" s="40">
        <v>2.8847170917652908E-4</v>
      </c>
      <c r="I964" s="40">
        <v>1.4704819718286599</v>
      </c>
      <c r="J964" s="59">
        <v>0</v>
      </c>
      <c r="K964" s="59">
        <v>4469.3076051771641</v>
      </c>
      <c r="L964" s="59">
        <v>0</v>
      </c>
      <c r="M964" s="11">
        <v>0.84137219190597534</v>
      </c>
      <c r="N964" s="11">
        <v>0.76234859228134155</v>
      </c>
      <c r="O964" s="11">
        <v>0.24245810508728027</v>
      </c>
      <c r="Q964" s="59">
        <v>14.493853116596995</v>
      </c>
      <c r="R964" s="78">
        <v>452.35486663949484</v>
      </c>
      <c r="S964" s="78">
        <v>14.509043204886517</v>
      </c>
      <c r="T964" s="78">
        <v>610.44003357717497</v>
      </c>
      <c r="U964" s="78">
        <v>1.5190088289521952E-2</v>
      </c>
      <c r="V964" s="78">
        <v>158.08516693768013</v>
      </c>
      <c r="Y964" s="28"/>
      <c r="Z964" s="28"/>
      <c r="AK964" s="28"/>
      <c r="AS964" s="28"/>
      <c r="AT964" s="28"/>
    </row>
    <row r="965" spans="3:46" x14ac:dyDescent="0.15">
      <c r="C965" s="11">
        <v>8.0629587173461914E-3</v>
      </c>
      <c r="D965" s="11">
        <v>3.9626777172088623E-2</v>
      </c>
      <c r="E965" s="11">
        <v>0.28086217465609858</v>
      </c>
      <c r="F965" s="11">
        <v>0</v>
      </c>
      <c r="G965" s="11">
        <v>7.897651195526123E-2</v>
      </c>
      <c r="H965" s="40">
        <v>3.4791560416830378E-4</v>
      </c>
      <c r="I965" s="40">
        <v>1.4711484481271331</v>
      </c>
      <c r="J965" s="59">
        <v>0</v>
      </c>
      <c r="K965" s="59">
        <v>5392.769817262888</v>
      </c>
      <c r="L965" s="59">
        <v>0</v>
      </c>
      <c r="M965" s="11">
        <v>0.90506458282470703</v>
      </c>
      <c r="N965" s="11">
        <v>0.7711944580078125</v>
      </c>
      <c r="O965" s="11">
        <v>0.34156680107116699</v>
      </c>
      <c r="Q965" s="59">
        <v>15.788924964160909</v>
      </c>
      <c r="R965" s="78">
        <v>509.93241066490492</v>
      </c>
      <c r="S965" s="78">
        <v>15.838195314420625</v>
      </c>
      <c r="T965" s="78">
        <v>611.91579912410725</v>
      </c>
      <c r="U965" s="78">
        <v>4.9270350259716267E-2</v>
      </c>
      <c r="V965" s="78">
        <v>101.98338845920233</v>
      </c>
      <c r="Y965" s="28"/>
      <c r="Z965" s="28"/>
      <c r="AK965" s="28"/>
      <c r="AS965" s="28"/>
      <c r="AT965" s="28"/>
    </row>
    <row r="966" spans="3:46" x14ac:dyDescent="0.15">
      <c r="C966" s="11">
        <v>2.4652928113937378E-2</v>
      </c>
      <c r="D966" s="11">
        <v>3.4967303276062012E-2</v>
      </c>
      <c r="E966" s="11">
        <v>0.1933905973248766</v>
      </c>
      <c r="F966" s="11">
        <v>0</v>
      </c>
      <c r="G966" s="11">
        <v>3.9113640785217285E-2</v>
      </c>
      <c r="H966" s="40">
        <v>4.1450128816192776E-4</v>
      </c>
      <c r="I966" s="40">
        <v>1.4800618010431337</v>
      </c>
      <c r="J966" s="59">
        <v>0</v>
      </c>
      <c r="K966" s="59">
        <v>5646.6716341674328</v>
      </c>
      <c r="L966" s="59">
        <v>0</v>
      </c>
      <c r="M966" s="11">
        <v>0.8358447253704071</v>
      </c>
      <c r="N966" s="11">
        <v>0.78083139657974243</v>
      </c>
      <c r="O966" s="11">
        <v>0.28960287570953369</v>
      </c>
      <c r="Q966" s="59">
        <v>14.349363173093717</v>
      </c>
      <c r="R966" s="78">
        <v>516.45300675348051</v>
      </c>
      <c r="S966" s="78">
        <v>14.390053531328224</v>
      </c>
      <c r="T966" s="78">
        <v>603.04829990836231</v>
      </c>
      <c r="U966" s="78">
        <v>4.0690358234506618E-2</v>
      </c>
      <c r="V966" s="78">
        <v>86.595293154881801</v>
      </c>
      <c r="Y966" s="28"/>
      <c r="Z966" s="28"/>
      <c r="AK966" s="28"/>
      <c r="AS966" s="28"/>
      <c r="AT966" s="28"/>
    </row>
    <row r="967" spans="3:46" x14ac:dyDescent="0.15">
      <c r="C967" s="11">
        <v>3.5403966903686523E-2</v>
      </c>
      <c r="D967" s="11">
        <v>6.7467689514160156E-3</v>
      </c>
      <c r="E967" s="11">
        <v>0.16247540232788005</v>
      </c>
      <c r="F967" s="11">
        <v>0</v>
      </c>
      <c r="G967" s="11">
        <v>3.4957975149154663E-2</v>
      </c>
      <c r="H967" s="40">
        <v>5.2853177474022786E-4</v>
      </c>
      <c r="I967" s="40">
        <v>1.447355321755353</v>
      </c>
      <c r="J967" s="59">
        <v>0</v>
      </c>
      <c r="K967" s="59">
        <v>3726.8968299031258</v>
      </c>
      <c r="L967" s="59">
        <v>0</v>
      </c>
      <c r="M967" s="11">
        <v>0.84049582481384277</v>
      </c>
      <c r="N967" s="11">
        <v>0.80722427368164062</v>
      </c>
      <c r="O967" s="11">
        <v>0.25290834903717041</v>
      </c>
      <c r="Q967" s="59">
        <v>14.278743166306464</v>
      </c>
      <c r="R967" s="78">
        <v>485.03278699316394</v>
      </c>
      <c r="S967" s="78">
        <v>14.313602599604787</v>
      </c>
      <c r="T967" s="78">
        <v>594.06208999863793</v>
      </c>
      <c r="U967" s="78">
        <v>3.4859433298322529E-2</v>
      </c>
      <c r="V967" s="78">
        <v>109.02930300547399</v>
      </c>
      <c r="Y967" s="28"/>
      <c r="Z967" s="28"/>
      <c r="AK967" s="28"/>
      <c r="AS967" s="28"/>
      <c r="AT967" s="28"/>
    </row>
    <row r="968" spans="3:46" x14ac:dyDescent="0.15">
      <c r="C968" s="11">
        <v>6.2024146318435669E-3</v>
      </c>
      <c r="D968" s="11">
        <v>2.3569732904434204E-2</v>
      </c>
      <c r="E968" s="11">
        <v>0.17201305232160244</v>
      </c>
      <c r="F968" s="11">
        <v>0</v>
      </c>
      <c r="G968" s="11">
        <v>9.7082138061523438E-2</v>
      </c>
      <c r="H968" s="40">
        <v>3.86730285568377E-4</v>
      </c>
      <c r="I968" s="40">
        <v>1.4590475413161441</v>
      </c>
      <c r="J968" s="59">
        <v>0</v>
      </c>
      <c r="K968" s="59">
        <v>4463.1911441683769</v>
      </c>
      <c r="L968" s="59">
        <v>0</v>
      </c>
      <c r="M968" s="11">
        <v>0.85805070400238037</v>
      </c>
      <c r="N968" s="11">
        <v>0.8000037670135498</v>
      </c>
      <c r="O968" s="11">
        <v>0.25732934474945068</v>
      </c>
      <c r="Q968" s="59">
        <v>15.007955082890454</v>
      </c>
      <c r="R968" s="78">
        <v>505.12628459480192</v>
      </c>
      <c r="S968" s="78">
        <v>15.052752222499544</v>
      </c>
      <c r="T968" s="78">
        <v>598.36797010304429</v>
      </c>
      <c r="U968" s="78">
        <v>4.4797139609089598E-2</v>
      </c>
      <c r="V968" s="78">
        <v>93.241685508242369</v>
      </c>
      <c r="Y968" s="28"/>
      <c r="Z968" s="28"/>
      <c r="AK968" s="28"/>
      <c r="AS968" s="28"/>
      <c r="AT968" s="28"/>
    </row>
    <row r="969" spans="3:46" x14ac:dyDescent="0.15">
      <c r="C969" s="11">
        <v>3.8818269968032837E-3</v>
      </c>
      <c r="D969" s="11">
        <v>8.5034668445587158E-3</v>
      </c>
      <c r="E969" s="11">
        <v>0.16995592298493634</v>
      </c>
      <c r="F969" s="11">
        <v>0</v>
      </c>
      <c r="G969" s="11">
        <v>2.4656951427459717E-2</v>
      </c>
      <c r="H969" s="40">
        <v>5.2123326385939751E-4</v>
      </c>
      <c r="I969" s="40">
        <v>1.4779963140986996</v>
      </c>
      <c r="J969" s="59">
        <v>0</v>
      </c>
      <c r="K969" s="59">
        <v>4620.0968790799379</v>
      </c>
      <c r="L969" s="59">
        <v>0</v>
      </c>
      <c r="M969" s="11">
        <v>0.89157068729400635</v>
      </c>
      <c r="N969" s="11">
        <v>0.70248079299926758</v>
      </c>
      <c r="O969" s="11">
        <v>0.32290178537368774</v>
      </c>
      <c r="Q969" s="59">
        <v>15.584432100850242</v>
      </c>
      <c r="R969" s="78">
        <v>512.49068157316378</v>
      </c>
      <c r="S969" s="78">
        <v>15.669335467329905</v>
      </c>
      <c r="T969" s="78">
        <v>599.5448709378793</v>
      </c>
      <c r="U969" s="78">
        <v>8.4903366479663234E-2</v>
      </c>
      <c r="V969" s="78">
        <v>87.054189364715512</v>
      </c>
      <c r="Y969" s="28"/>
      <c r="Z969" s="28"/>
      <c r="AK969" s="28"/>
      <c r="AS969" s="28"/>
      <c r="AT969" s="28"/>
    </row>
    <row r="970" spans="3:46" x14ac:dyDescent="0.15">
      <c r="C970" s="11">
        <v>2.1651744842529297E-2</v>
      </c>
      <c r="D970" s="11">
        <v>2.7785837650299072E-2</v>
      </c>
      <c r="E970" s="11">
        <v>0.2011207090154043</v>
      </c>
      <c r="F970" s="11">
        <v>0</v>
      </c>
      <c r="G970" s="11">
        <v>1.8136978149414062E-2</v>
      </c>
      <c r="H970" s="40">
        <v>3.8347558433446448E-4</v>
      </c>
      <c r="I970" s="40">
        <v>1.579693954403752</v>
      </c>
      <c r="J970" s="59">
        <v>0</v>
      </c>
      <c r="K970" s="59">
        <v>4771.4123502373695</v>
      </c>
      <c r="L970" s="59">
        <v>0</v>
      </c>
      <c r="M970" s="11">
        <v>0.88410490751266479</v>
      </c>
      <c r="N970" s="11">
        <v>0.79069626331329346</v>
      </c>
      <c r="O970" s="11">
        <v>0.30386099219322205</v>
      </c>
      <c r="Q970" s="59">
        <v>15.206421058930752</v>
      </c>
      <c r="R970" s="78">
        <v>508.54607233314169</v>
      </c>
      <c r="S970" s="78">
        <v>15.263523403772892</v>
      </c>
      <c r="T970" s="78">
        <v>602.51224282994701</v>
      </c>
      <c r="U970" s="78">
        <v>5.7102344842139274E-2</v>
      </c>
      <c r="V970" s="78">
        <v>93.966170496805319</v>
      </c>
      <c r="Y970" s="28"/>
      <c r="Z970" s="28"/>
      <c r="AK970" s="28"/>
      <c r="AS970" s="28"/>
      <c r="AT970" s="28"/>
    </row>
    <row r="971" spans="3:46" x14ac:dyDescent="0.15">
      <c r="C971" s="11">
        <v>4.3635368347167969E-3</v>
      </c>
      <c r="D971" s="11">
        <v>2.7135014533996582E-3</v>
      </c>
      <c r="E971" s="11">
        <v>0.30582162939569435</v>
      </c>
      <c r="F971" s="11">
        <v>0</v>
      </c>
      <c r="G971" s="11">
        <v>4.3050915002822876E-2</v>
      </c>
      <c r="H971" s="40">
        <v>2.8651010514270196E-4</v>
      </c>
      <c r="I971" s="40">
        <v>1.5257256670495654</v>
      </c>
      <c r="J971" s="59">
        <v>0</v>
      </c>
      <c r="K971" s="59">
        <v>4976.0541878640652</v>
      </c>
      <c r="L971" s="59">
        <v>0</v>
      </c>
      <c r="M971" s="11">
        <v>0.845084547996521</v>
      </c>
      <c r="N971" s="11">
        <v>0.80521678924560547</v>
      </c>
      <c r="O971" s="11">
        <v>0.29803043603897095</v>
      </c>
      <c r="Q971" s="59">
        <v>14.831941186154138</v>
      </c>
      <c r="R971" s="78">
        <v>483.9215619196421</v>
      </c>
      <c r="S971" s="78">
        <v>14.852740089233865</v>
      </c>
      <c r="T971" s="78">
        <v>606.79561069275314</v>
      </c>
      <c r="U971" s="78">
        <v>2.0798903079727538E-2</v>
      </c>
      <c r="V971" s="78">
        <v>122.87404877311104</v>
      </c>
      <c r="Y971" s="28"/>
      <c r="Z971" s="28"/>
      <c r="AK971" s="28"/>
      <c r="AS971" s="28"/>
      <c r="AT971" s="28"/>
    </row>
    <row r="972" spans="3:46" x14ac:dyDescent="0.15">
      <c r="C972" s="11">
        <v>2.6589632034301758E-3</v>
      </c>
      <c r="D972" s="11">
        <v>1.2669682502746582E-2</v>
      </c>
      <c r="E972" s="11">
        <v>0.14387608026604534</v>
      </c>
      <c r="F972" s="11">
        <v>0</v>
      </c>
      <c r="G972" s="11">
        <v>3.4190446138381958E-2</v>
      </c>
      <c r="H972" s="40">
        <v>5.9663705566535428E-4</v>
      </c>
      <c r="I972" s="40">
        <v>1.3942777526882801</v>
      </c>
      <c r="J972" s="59">
        <v>0</v>
      </c>
      <c r="K972" s="59">
        <v>4646.7152424156666</v>
      </c>
      <c r="L972" s="59">
        <v>0</v>
      </c>
      <c r="M972" s="11">
        <v>0.80753839015960693</v>
      </c>
      <c r="N972" s="11">
        <v>0.72743552923202515</v>
      </c>
      <c r="O972" s="11">
        <v>0.28489077091217041</v>
      </c>
      <c r="Q972" s="59">
        <v>14.170371960848945</v>
      </c>
      <c r="R972" s="78">
        <v>506.89651948142239</v>
      </c>
      <c r="S972" s="78">
        <v>14.21790802491272</v>
      </c>
      <c r="T972" s="78">
        <v>595.5293947523221</v>
      </c>
      <c r="U972" s="78">
        <v>4.753606406377564E-2</v>
      </c>
      <c r="V972" s="78">
        <v>88.632875270899717</v>
      </c>
      <c r="Y972" s="28"/>
      <c r="Z972" s="28"/>
      <c r="AK972" s="28"/>
      <c r="AS972" s="28"/>
      <c r="AT972" s="28"/>
    </row>
    <row r="973" spans="3:46" x14ac:dyDescent="0.15">
      <c r="C973" s="11">
        <v>3.0998468399047852E-2</v>
      </c>
      <c r="D973" s="11">
        <v>1.3535797595977783E-2</v>
      </c>
      <c r="E973" s="11">
        <v>0.29593552922707728</v>
      </c>
      <c r="F973" s="11">
        <v>0</v>
      </c>
      <c r="G973" s="11">
        <v>3.4748822450637817E-2</v>
      </c>
      <c r="H973" s="40">
        <v>3.917292470204707E-4</v>
      </c>
      <c r="I973" s="40">
        <v>1.4424421812612402</v>
      </c>
      <c r="J973" s="59">
        <v>0</v>
      </c>
      <c r="K973" s="59">
        <v>3565.7826811075211</v>
      </c>
      <c r="L973" s="59">
        <v>0</v>
      </c>
      <c r="M973" s="11">
        <v>0.82662677764892578</v>
      </c>
      <c r="N973" s="11">
        <v>0.819976806640625</v>
      </c>
      <c r="O973" s="11">
        <v>0.2949402928352356</v>
      </c>
      <c r="Q973" s="59">
        <v>14.124468974105948</v>
      </c>
      <c r="R973" s="78">
        <v>458.11921405383532</v>
      </c>
      <c r="S973" s="78">
        <v>14.141336976411878</v>
      </c>
      <c r="T973" s="78">
        <v>598.18828660590202</v>
      </c>
      <c r="U973" s="78">
        <v>1.6868002305930219E-2</v>
      </c>
      <c r="V973" s="78">
        <v>140.0690725520667</v>
      </c>
      <c r="Y973" s="28"/>
      <c r="Z973" s="28"/>
      <c r="AK973" s="28"/>
      <c r="AS973" s="28"/>
      <c r="AT973" s="28"/>
    </row>
    <row r="974" spans="3:46" x14ac:dyDescent="0.15">
      <c r="C974" s="11">
        <v>1.1183977127075195E-2</v>
      </c>
      <c r="D974" s="11">
        <v>1.7778649926185608E-2</v>
      </c>
      <c r="E974" s="11">
        <v>0.22540955103807073</v>
      </c>
      <c r="F974" s="11">
        <v>0</v>
      </c>
      <c r="G974" s="11">
        <v>3.2946974039077759E-2</v>
      </c>
      <c r="H974" s="40">
        <v>4.8795970594770399E-4</v>
      </c>
      <c r="I974" s="40">
        <v>1.3974763410670343</v>
      </c>
      <c r="J974" s="59">
        <v>0</v>
      </c>
      <c r="K974" s="59">
        <v>2691.2987232208252</v>
      </c>
      <c r="L974" s="59">
        <v>0</v>
      </c>
      <c r="M974" s="11">
        <v>0.87254303693771362</v>
      </c>
      <c r="N974" s="11">
        <v>0.70009326934814453</v>
      </c>
      <c r="O974" s="11">
        <v>0.26410460472106934</v>
      </c>
      <c r="Q974" s="59">
        <v>15.1641829648218</v>
      </c>
      <c r="R974" s="78">
        <v>447.28568670467592</v>
      </c>
      <c r="S974" s="78">
        <v>15.222548882636447</v>
      </c>
      <c r="T974" s="78">
        <v>591.16957895623784</v>
      </c>
      <c r="U974" s="78">
        <v>5.8365917814647617E-2</v>
      </c>
      <c r="V974" s="78">
        <v>143.88389225156192</v>
      </c>
      <c r="Y974" s="28"/>
      <c r="Z974" s="28"/>
      <c r="AK974" s="28"/>
      <c r="AS974" s="28"/>
      <c r="AT974" s="28"/>
    </row>
    <row r="975" spans="3:46" x14ac:dyDescent="0.15">
      <c r="C975" s="11">
        <v>6.3845813274383545E-3</v>
      </c>
      <c r="D975" s="11">
        <v>2.1536916494369507E-2</v>
      </c>
      <c r="E975" s="11">
        <v>0.35961079374586591</v>
      </c>
      <c r="F975" s="11">
        <v>0</v>
      </c>
      <c r="G975" s="11">
        <v>3.8202047348022461E-2</v>
      </c>
      <c r="H975" s="40">
        <v>3.8972182292226938E-4</v>
      </c>
      <c r="I975" s="40">
        <v>1.4592951764904716</v>
      </c>
      <c r="J975" s="59">
        <v>0</v>
      </c>
      <c r="K975" s="59">
        <v>5673.0420328676701</v>
      </c>
      <c r="L975" s="59">
        <v>0</v>
      </c>
      <c r="M975" s="11">
        <v>0.8353533148765564</v>
      </c>
      <c r="N975" s="11">
        <v>0.75508707761764526</v>
      </c>
      <c r="O975" s="11">
        <v>0.28247243165969849</v>
      </c>
      <c r="Q975" s="59">
        <v>14.612514336514666</v>
      </c>
      <c r="R975" s="78">
        <v>505.01263904067025</v>
      </c>
      <c r="S975" s="78">
        <v>14.643421506452782</v>
      </c>
      <c r="T975" s="78">
        <v>619.34991014495165</v>
      </c>
      <c r="U975" s="78">
        <v>3.0907169938116041E-2</v>
      </c>
      <c r="V975" s="78">
        <v>114.3372711042814</v>
      </c>
      <c r="Y975" s="28"/>
      <c r="Z975" s="28"/>
      <c r="AK975" s="28"/>
      <c r="AS975" s="28"/>
      <c r="AT975" s="28"/>
    </row>
    <row r="976" spans="3:46" x14ac:dyDescent="0.15">
      <c r="C976" s="11">
        <v>3.5936236381530762E-3</v>
      </c>
      <c r="D976" s="11">
        <v>1.1789113283157349E-2</v>
      </c>
      <c r="E976" s="11">
        <v>0.22508125027591838</v>
      </c>
      <c r="F976" s="11">
        <v>0</v>
      </c>
      <c r="G976" s="11">
        <v>3.6287754774093628E-2</v>
      </c>
      <c r="H976" s="40">
        <v>5.5720189026755435E-4</v>
      </c>
      <c r="I976" s="40">
        <v>1.392182072051261</v>
      </c>
      <c r="J976" s="59">
        <v>0</v>
      </c>
      <c r="K976" s="59">
        <v>4973.1018953025341</v>
      </c>
      <c r="L976" s="59">
        <v>0</v>
      </c>
      <c r="M976" s="11">
        <v>0.86463713645935059</v>
      </c>
      <c r="N976" s="11">
        <v>0.74093353748321533</v>
      </c>
      <c r="O976" s="11">
        <v>0.29261595010757446</v>
      </c>
      <c r="Q976" s="59">
        <v>15.150038691970439</v>
      </c>
      <c r="R976" s="78">
        <v>507.49979916746815</v>
      </c>
      <c r="S976" s="78">
        <v>15.202213652854343</v>
      </c>
      <c r="T976" s="78">
        <v>604.92320283125036</v>
      </c>
      <c r="U976" s="78">
        <v>5.2174960883904831E-2</v>
      </c>
      <c r="V976" s="78">
        <v>97.42340366378221</v>
      </c>
      <c r="Y976" s="28"/>
      <c r="Z976" s="28"/>
      <c r="AK976" s="28"/>
      <c r="AS976" s="28"/>
      <c r="AT976" s="28"/>
    </row>
    <row r="977" spans="3:46" x14ac:dyDescent="0.15">
      <c r="C977" s="11">
        <v>8.5224360227584839E-3</v>
      </c>
      <c r="D977" s="11">
        <v>2.1044254302978516E-2</v>
      </c>
      <c r="E977" s="11">
        <v>0.19050185434148531</v>
      </c>
      <c r="F977" s="11">
        <v>0</v>
      </c>
      <c r="G977" s="11">
        <v>4.083135724067688E-2</v>
      </c>
      <c r="H977" s="40">
        <v>4.4400612503800755E-4</v>
      </c>
      <c r="I977" s="40">
        <v>1.3869602323502839</v>
      </c>
      <c r="J977" s="59">
        <v>0</v>
      </c>
      <c r="K977" s="59">
        <v>3807.6774217188358</v>
      </c>
      <c r="L977" s="59">
        <v>0</v>
      </c>
      <c r="M977" s="11">
        <v>0.89907741546630859</v>
      </c>
      <c r="N977" s="11">
        <v>0.79017841815948486</v>
      </c>
      <c r="O977" s="11">
        <v>0.32162553071975708</v>
      </c>
      <c r="Q977" s="59">
        <v>15.69278752659706</v>
      </c>
      <c r="R977" s="78">
        <v>463.59220517644377</v>
      </c>
      <c r="S977" s="78">
        <v>15.735383153027712</v>
      </c>
      <c r="T977" s="78">
        <v>592.4167072781762</v>
      </c>
      <c r="U977" s="78">
        <v>4.2595626430651734E-2</v>
      </c>
      <c r="V977" s="78">
        <v>128.82450210173243</v>
      </c>
      <c r="Y977" s="28"/>
      <c r="Z977" s="28"/>
      <c r="AK977" s="28"/>
      <c r="AS977" s="28"/>
      <c r="AT977" s="28"/>
    </row>
    <row r="978" spans="3:46" x14ac:dyDescent="0.15">
      <c r="C978" s="11">
        <v>3.1302988529205322E-2</v>
      </c>
      <c r="D978" s="11">
        <v>4.9463808536529541E-3</v>
      </c>
      <c r="E978" s="11">
        <v>0.32175259978415127</v>
      </c>
      <c r="F978" s="11">
        <v>0</v>
      </c>
      <c r="G978" s="11">
        <v>5.0971955060958862E-2</v>
      </c>
      <c r="H978" s="40">
        <v>5.0252578769043109E-4</v>
      </c>
      <c r="I978" s="40">
        <v>1.463432069797618</v>
      </c>
      <c r="J978" s="59">
        <v>0</v>
      </c>
      <c r="K978" s="59">
        <v>6497.1111714839935</v>
      </c>
      <c r="L978" s="59">
        <v>0</v>
      </c>
      <c r="M978" s="11">
        <v>0.84247046709060669</v>
      </c>
      <c r="N978" s="11">
        <v>0.75572210550308228</v>
      </c>
      <c r="O978" s="11">
        <v>0.29298365116119385</v>
      </c>
      <c r="Q978" s="59">
        <v>14.355364437205173</v>
      </c>
      <c r="R978" s="78">
        <v>566.32404920981412</v>
      </c>
      <c r="S978" s="78">
        <v>14.395625228100945</v>
      </c>
      <c r="T978" s="78">
        <v>635.25945133139817</v>
      </c>
      <c r="U978" s="78">
        <v>4.0260790895771947E-2</v>
      </c>
      <c r="V978" s="78">
        <v>68.935402121584048</v>
      </c>
      <c r="Y978" s="28"/>
      <c r="Z978" s="28"/>
      <c r="AK978" s="28"/>
      <c r="AS978" s="28"/>
      <c r="AT978" s="28"/>
    </row>
    <row r="979" spans="3:46" x14ac:dyDescent="0.15">
      <c r="C979" s="11">
        <v>1.9995570182800293E-2</v>
      </c>
      <c r="D979" s="11">
        <v>4.5632719993591309E-2</v>
      </c>
      <c r="E979" s="11">
        <v>0.19921289236939968</v>
      </c>
      <c r="F979" s="11">
        <v>0</v>
      </c>
      <c r="G979" s="11">
        <v>2.6077568531036377E-2</v>
      </c>
      <c r="H979" s="40">
        <v>4.5903426508919336E-4</v>
      </c>
      <c r="I979" s="40">
        <v>1.4917591718645284</v>
      </c>
      <c r="J979" s="59">
        <v>0</v>
      </c>
      <c r="K979" s="59">
        <v>6841.3838744163513</v>
      </c>
      <c r="L979" s="59">
        <v>0</v>
      </c>
      <c r="M979" s="11">
        <v>0.81784653663635254</v>
      </c>
      <c r="N979" s="11">
        <v>0.7524876594543457</v>
      </c>
      <c r="O979" s="11">
        <v>0.32368844747543335</v>
      </c>
      <c r="Q979" s="59">
        <v>14.097693750312883</v>
      </c>
      <c r="R979" s="78">
        <v>552.82045658716129</v>
      </c>
      <c r="S979" s="78">
        <v>14.145129251410792</v>
      </c>
      <c r="T979" s="78">
        <v>611.20835067327403</v>
      </c>
      <c r="U979" s="78">
        <v>4.7435501097908173E-2</v>
      </c>
      <c r="V979" s="78">
        <v>58.387894086112738</v>
      </c>
      <c r="Y979" s="28"/>
      <c r="Z979" s="28"/>
      <c r="AK979" s="28"/>
      <c r="AS979" s="28"/>
      <c r="AT979" s="28"/>
    </row>
    <row r="980" spans="3:46" x14ac:dyDescent="0.15">
      <c r="C980" s="11">
        <v>9.7480863332748413E-3</v>
      </c>
      <c r="D980" s="11">
        <v>1.9283652305603027E-2</v>
      </c>
      <c r="E980" s="11">
        <v>0.36498955406433992</v>
      </c>
      <c r="F980" s="11">
        <v>0</v>
      </c>
      <c r="G980" s="11">
        <v>6.2283158302307129E-2</v>
      </c>
      <c r="H980" s="40">
        <v>4.037143498878264E-4</v>
      </c>
      <c r="I980" s="40">
        <v>1.4318030245440276</v>
      </c>
      <c r="J980" s="59">
        <v>0</v>
      </c>
      <c r="K980" s="59">
        <v>5662.9208847880363</v>
      </c>
      <c r="L980" s="59">
        <v>0</v>
      </c>
      <c r="M980" s="11">
        <v>0.8215448260307312</v>
      </c>
      <c r="N980" s="11">
        <v>0.73084276914596558</v>
      </c>
      <c r="O980" s="11">
        <v>0.29670560359954834</v>
      </c>
      <c r="Q980" s="59">
        <v>14.319897779129384</v>
      </c>
      <c r="R980" s="78">
        <v>512.5164476098214</v>
      </c>
      <c r="S980" s="78">
        <v>14.351478042531681</v>
      </c>
      <c r="T980" s="78">
        <v>622.68176644607786</v>
      </c>
      <c r="U980" s="78">
        <v>3.1580263402297248E-2</v>
      </c>
      <c r="V980" s="78">
        <v>110.16531883625646</v>
      </c>
      <c r="Y980" s="28"/>
      <c r="Z980" s="28"/>
      <c r="AK980" s="28"/>
      <c r="AS980" s="28"/>
      <c r="AT980" s="28"/>
    </row>
    <row r="981" spans="3:46" x14ac:dyDescent="0.15">
      <c r="C981" s="11">
        <v>1.2440726161003113E-2</v>
      </c>
      <c r="D981" s="11">
        <v>3.5358011722564697E-2</v>
      </c>
      <c r="E981" s="11">
        <v>0.43040852782309369</v>
      </c>
      <c r="F981" s="11">
        <v>0</v>
      </c>
      <c r="G981" s="11">
        <v>1.6001224517822266E-2</v>
      </c>
      <c r="H981" s="40">
        <v>6.1397623331564948E-4</v>
      </c>
      <c r="I981" s="40">
        <v>1.389950071199751</v>
      </c>
      <c r="J981" s="59">
        <v>0</v>
      </c>
      <c r="K981" s="59">
        <v>5511.4692077040672</v>
      </c>
      <c r="L981" s="59">
        <v>0</v>
      </c>
      <c r="M981" s="11">
        <v>0.88322389125823975</v>
      </c>
      <c r="N981" s="11">
        <v>0.77507299184799194</v>
      </c>
      <c r="O981" s="11">
        <v>0.30857282876968384</v>
      </c>
      <c r="Q981" s="59">
        <v>15.334680625221639</v>
      </c>
      <c r="R981" s="78">
        <v>514.92557776202921</v>
      </c>
      <c r="S981" s="78">
        <v>15.375340687631942</v>
      </c>
      <c r="T981" s="78">
        <v>631.6758162520789</v>
      </c>
      <c r="U981" s="78">
        <v>4.066006241030351E-2</v>
      </c>
      <c r="V981" s="78">
        <v>116.7502384900497</v>
      </c>
      <c r="Y981" s="28"/>
      <c r="Z981" s="28"/>
      <c r="AK981" s="28"/>
      <c r="AS981" s="28"/>
      <c r="AT981" s="28"/>
    </row>
    <row r="982" spans="3:46" x14ac:dyDescent="0.15">
      <c r="C982" s="11">
        <v>2.7542710304260254E-3</v>
      </c>
      <c r="D982" s="11">
        <v>1.3431847095489502E-2</v>
      </c>
      <c r="E982" s="11">
        <v>0.23616371081060261</v>
      </c>
      <c r="F982" s="11">
        <v>0</v>
      </c>
      <c r="G982" s="11">
        <v>4.7487229108810425E-2</v>
      </c>
      <c r="H982" s="40">
        <v>4.7959473453825093E-4</v>
      </c>
      <c r="I982" s="40">
        <v>1.4745404064166259</v>
      </c>
      <c r="J982" s="59">
        <v>0</v>
      </c>
      <c r="K982" s="59">
        <v>5795.1896451413631</v>
      </c>
      <c r="L982" s="59">
        <v>0</v>
      </c>
      <c r="M982" s="11">
        <v>0.89278662204742432</v>
      </c>
      <c r="N982" s="11">
        <v>0.73053812980651855</v>
      </c>
      <c r="O982" s="11">
        <v>0.27578276395797729</v>
      </c>
      <c r="Q982" s="59">
        <v>15.63404056500651</v>
      </c>
      <c r="R982" s="78">
        <v>547.00667910535878</v>
      </c>
      <c r="S982" s="78">
        <v>15.704151251174217</v>
      </c>
      <c r="T982" s="78">
        <v>615.73041577637366</v>
      </c>
      <c r="U982" s="78">
        <v>7.0110686167707215E-2</v>
      </c>
      <c r="V982" s="78">
        <v>68.723736671014876</v>
      </c>
      <c r="Y982" s="28"/>
      <c r="Z982" s="28"/>
      <c r="AK982" s="28"/>
      <c r="AS982" s="28"/>
      <c r="AT982" s="28"/>
    </row>
    <row r="983" spans="3:46" x14ac:dyDescent="0.15">
      <c r="C983" s="11">
        <v>3.2132923603057861E-2</v>
      </c>
      <c r="D983" s="11">
        <v>9.233132004737854E-3</v>
      </c>
      <c r="E983" s="11">
        <v>0.38167027056521813</v>
      </c>
      <c r="F983" s="11">
        <v>0</v>
      </c>
      <c r="G983" s="11">
        <v>6.2669873237609863E-2</v>
      </c>
      <c r="H983" s="40">
        <v>4.2831792589169437E-4</v>
      </c>
      <c r="I983" s="40">
        <v>1.4236213508497917</v>
      </c>
      <c r="J983" s="59">
        <v>0</v>
      </c>
      <c r="K983" s="59">
        <v>2717.2453701496124</v>
      </c>
      <c r="L983" s="59">
        <v>0</v>
      </c>
      <c r="M983" s="11">
        <v>0.88402414321899414</v>
      </c>
      <c r="N983" s="11">
        <v>0.78917348384857178</v>
      </c>
      <c r="O983" s="11">
        <v>0.29654064774513245</v>
      </c>
      <c r="Q983" s="59">
        <v>15.061463018563437</v>
      </c>
      <c r="R983" s="78">
        <v>451.8900233073374</v>
      </c>
      <c r="S983" s="78">
        <v>15.093266904769454</v>
      </c>
      <c r="T983" s="78">
        <v>601.31228216618638</v>
      </c>
      <c r="U983" s="78">
        <v>3.180388620601704E-2</v>
      </c>
      <c r="V983" s="78">
        <v>149.42225885884898</v>
      </c>
      <c r="Y983" s="28"/>
      <c r="Z983" s="28"/>
      <c r="AK983" s="28"/>
      <c r="AS983" s="28"/>
      <c r="AT983" s="28"/>
    </row>
    <row r="984" spans="3:46" x14ac:dyDescent="0.15">
      <c r="C984" s="11">
        <v>1.8553256988525391E-2</v>
      </c>
      <c r="D984" s="11">
        <v>2.4279206991195679E-2</v>
      </c>
      <c r="E984" s="11">
        <v>9.517032248564028E-2</v>
      </c>
      <c r="F984" s="11">
        <v>0</v>
      </c>
      <c r="G984" s="11">
        <v>6.8109273910522461E-2</v>
      </c>
      <c r="H984" s="40">
        <v>4.7011759040866546E-4</v>
      </c>
      <c r="I984" s="40">
        <v>1.4857980628089205</v>
      </c>
      <c r="J984" s="59">
        <v>0</v>
      </c>
      <c r="K984" s="59">
        <v>6051.3312928378582</v>
      </c>
      <c r="L984" s="59">
        <v>0</v>
      </c>
      <c r="M984" s="11">
        <v>0.8707088828086853</v>
      </c>
      <c r="N984" s="11">
        <v>0.73024499416351318</v>
      </c>
      <c r="O984" s="11">
        <v>0.32366454601287842</v>
      </c>
      <c r="Q984" s="59">
        <v>15.006325909562344</v>
      </c>
      <c r="R984" s="78">
        <v>567.96433984922692</v>
      </c>
      <c r="S984" s="78">
        <v>15.085905510684141</v>
      </c>
      <c r="T984" s="78">
        <v>595.88175062051573</v>
      </c>
      <c r="U984" s="78">
        <v>7.9579601121796628E-2</v>
      </c>
      <c r="V984" s="78">
        <v>27.917410771288814</v>
      </c>
      <c r="Y984" s="28"/>
      <c r="Z984" s="28"/>
      <c r="AK984" s="28"/>
      <c r="AS984" s="28"/>
      <c r="AT984" s="28"/>
    </row>
    <row r="985" spans="3:46" x14ac:dyDescent="0.15">
      <c r="C985" s="11">
        <v>3.7154674530029297E-2</v>
      </c>
      <c r="D985" s="11">
        <v>4.8562049865722656E-2</v>
      </c>
      <c r="E985" s="11">
        <v>0.1686743240284368</v>
      </c>
      <c r="F985" s="11">
        <v>0</v>
      </c>
      <c r="G985" s="11">
        <v>2.2211700677871704E-2</v>
      </c>
      <c r="H985" s="40">
        <v>5.1629160128352524E-4</v>
      </c>
      <c r="I985" s="40">
        <v>1.4716555690707496</v>
      </c>
      <c r="J985" s="59">
        <v>0</v>
      </c>
      <c r="K985" s="59">
        <v>6388.2069662213326</v>
      </c>
      <c r="L985" s="59">
        <v>0</v>
      </c>
      <c r="M985" s="11">
        <v>0.84199231863021851</v>
      </c>
      <c r="N985" s="11">
        <v>0.83020973205566406</v>
      </c>
      <c r="O985" s="11">
        <v>0.26090335845947266</v>
      </c>
      <c r="Q985" s="59">
        <v>14.27161675315924</v>
      </c>
      <c r="R985" s="78">
        <v>544.95476931617702</v>
      </c>
      <c r="S985" s="78">
        <v>14.311652888788853</v>
      </c>
      <c r="T985" s="78">
        <v>604.96320651433098</v>
      </c>
      <c r="U985" s="78">
        <v>4.0036135629613057E-2</v>
      </c>
      <c r="V985" s="78">
        <v>60.008437198153956</v>
      </c>
      <c r="Y985" s="28"/>
      <c r="Z985" s="28"/>
      <c r="AK985" s="28"/>
      <c r="AS985" s="28"/>
      <c r="AT985" s="28"/>
    </row>
    <row r="986" spans="3:46" x14ac:dyDescent="0.15">
      <c r="C986" s="11">
        <v>1.0923102498054504E-2</v>
      </c>
      <c r="D986" s="11">
        <v>2.784430980682373E-3</v>
      </c>
      <c r="E986" s="11">
        <v>0.32263299771750364</v>
      </c>
      <c r="F986" s="11">
        <v>0</v>
      </c>
      <c r="G986" s="11">
        <v>1.8091887235641479E-2</v>
      </c>
      <c r="H986" s="40">
        <v>7.5841623125806081E-4</v>
      </c>
      <c r="I986" s="40">
        <v>1.4186906612410022</v>
      </c>
      <c r="J986" s="59">
        <v>0</v>
      </c>
      <c r="K986" s="59">
        <v>4845.0380563735962</v>
      </c>
      <c r="L986" s="59">
        <v>0</v>
      </c>
      <c r="M986" s="11">
        <v>0.87605500221252441</v>
      </c>
      <c r="N986" s="11">
        <v>0.80681121349334717</v>
      </c>
      <c r="O986" s="11">
        <v>0.31007474660873413</v>
      </c>
      <c r="Q986" s="59">
        <v>15.240175779675665</v>
      </c>
      <c r="R986" s="78">
        <v>538.4557742544356</v>
      </c>
      <c r="S986" s="78">
        <v>15.283761944808473</v>
      </c>
      <c r="T986" s="78">
        <v>626.51727742158641</v>
      </c>
      <c r="U986" s="78">
        <v>4.3586165132808219E-2</v>
      </c>
      <c r="V986" s="78">
        <v>88.061503167150818</v>
      </c>
      <c r="Y986" s="28"/>
      <c r="Z986" s="28"/>
      <c r="AK986" s="28"/>
      <c r="AS986" s="28"/>
      <c r="AT986" s="28"/>
    </row>
    <row r="987" spans="3:46" x14ac:dyDescent="0.15">
      <c r="C987" s="11">
        <v>4.526984691619873E-2</v>
      </c>
      <c r="D987" s="11">
        <v>2.297133207321167E-2</v>
      </c>
      <c r="E987" s="11">
        <v>0.19532028668542858</v>
      </c>
      <c r="F987" s="11">
        <v>0</v>
      </c>
      <c r="G987" s="11">
        <v>9.0597152709960938E-2</v>
      </c>
      <c r="H987" s="40">
        <v>4.6644761534179124E-4</v>
      </c>
      <c r="I987" s="40">
        <v>1.4154276350123045</v>
      </c>
      <c r="J987" s="59">
        <v>0</v>
      </c>
      <c r="K987" s="59">
        <v>5471.4572615921497</v>
      </c>
      <c r="L987" s="59">
        <v>0</v>
      </c>
      <c r="M987" s="11">
        <v>0.87859171628952026</v>
      </c>
      <c r="N987" s="11">
        <v>0.74196749925613403</v>
      </c>
      <c r="O987" s="11">
        <v>0.28746461868286133</v>
      </c>
      <c r="Q987" s="59">
        <v>14.743605606172718</v>
      </c>
      <c r="R987" s="78">
        <v>529.83771841723433</v>
      </c>
      <c r="S987" s="78">
        <v>14.802060382598871</v>
      </c>
      <c r="T987" s="78">
        <v>605.88624749883536</v>
      </c>
      <c r="U987" s="78">
        <v>5.8454776426152932E-2</v>
      </c>
      <c r="V987" s="78">
        <v>76.048529081601032</v>
      </c>
      <c r="Y987" s="28"/>
      <c r="Z987" s="28"/>
      <c r="AK987" s="28"/>
      <c r="AS987" s="28"/>
      <c r="AT987" s="28"/>
    </row>
    <row r="988" spans="3:46" x14ac:dyDescent="0.15">
      <c r="C988" s="11">
        <v>3.1654119491577148E-2</v>
      </c>
      <c r="D988" s="11">
        <v>2.2095590829849243E-2</v>
      </c>
      <c r="E988" s="11">
        <v>0.51849688514025727</v>
      </c>
      <c r="F988" s="11">
        <v>0</v>
      </c>
      <c r="G988" s="11">
        <v>3.9139032363891602E-2</v>
      </c>
      <c r="H988" s="40">
        <v>4.0771611638781407E-4</v>
      </c>
      <c r="I988" s="40">
        <v>1.4567819717844763</v>
      </c>
      <c r="J988" s="59">
        <v>0</v>
      </c>
      <c r="K988" s="59">
        <v>5964.5506553351879</v>
      </c>
      <c r="L988" s="59">
        <v>0</v>
      </c>
      <c r="M988" s="11">
        <v>0.84182852506637573</v>
      </c>
      <c r="N988" s="11">
        <v>0.72698181867599487</v>
      </c>
      <c r="O988" s="11">
        <v>0.31897276639938354</v>
      </c>
      <c r="Q988" s="59">
        <v>14.341700405085628</v>
      </c>
      <c r="R988" s="78">
        <v>512.60230560981904</v>
      </c>
      <c r="S988" s="78">
        <v>14.36901304293667</v>
      </c>
      <c r="T988" s="78">
        <v>641.00777906345343</v>
      </c>
      <c r="U988" s="78">
        <v>2.7312637851041544E-2</v>
      </c>
      <c r="V988" s="78">
        <v>128.40547345363439</v>
      </c>
      <c r="Y988" s="28"/>
      <c r="Z988" s="28"/>
      <c r="AK988" s="28"/>
      <c r="AS988" s="28"/>
      <c r="AT988" s="28"/>
    </row>
    <row r="989" spans="3:46" x14ac:dyDescent="0.15">
      <c r="C989" s="11">
        <v>2.9353201389312744E-2</v>
      </c>
      <c r="D989" s="11">
        <v>2.617982029914856E-2</v>
      </c>
      <c r="E989" s="11">
        <v>0.50655531601034054</v>
      </c>
      <c r="F989" s="11">
        <v>0</v>
      </c>
      <c r="G989" s="11">
        <v>4.4988870620727539E-2</v>
      </c>
      <c r="H989" s="40">
        <v>4.7719441707437494E-4</v>
      </c>
      <c r="I989" s="40">
        <v>1.4622188857638938</v>
      </c>
      <c r="J989" s="59">
        <v>0</v>
      </c>
      <c r="K989" s="59">
        <v>7406.8550020456314</v>
      </c>
      <c r="L989" s="59">
        <v>0</v>
      </c>
      <c r="M989" s="11">
        <v>0.85459655523300171</v>
      </c>
      <c r="N989" s="11">
        <v>0.81531834602355957</v>
      </c>
      <c r="O989" s="11">
        <v>0.27141797542572021</v>
      </c>
      <c r="Q989" s="59">
        <v>14.601875292087749</v>
      </c>
      <c r="R989" s="78">
        <v>573.93944726480981</v>
      </c>
      <c r="S989" s="78">
        <v>14.626365768929952</v>
      </c>
      <c r="T989" s="78">
        <v>671.07255778797651</v>
      </c>
      <c r="U989" s="78">
        <v>2.4490476842203179E-2</v>
      </c>
      <c r="V989" s="78">
        <v>97.133110523166692</v>
      </c>
      <c r="Y989" s="28"/>
      <c r="Z989" s="28"/>
      <c r="AK989" s="28"/>
      <c r="AS989" s="28"/>
      <c r="AT989" s="28"/>
    </row>
    <row r="990" spans="3:46" x14ac:dyDescent="0.15">
      <c r="C990" s="11">
        <v>5.4982006549835205E-3</v>
      </c>
      <c r="D990" s="11">
        <v>4.7681331634521484E-2</v>
      </c>
      <c r="E990" s="11">
        <v>9.5328934631199277E-2</v>
      </c>
      <c r="F990" s="11">
        <v>0</v>
      </c>
      <c r="G990" s="11">
        <v>5.2925348281860352E-2</v>
      </c>
      <c r="H990" s="40">
        <v>6.989681524750184E-4</v>
      </c>
      <c r="I990" s="40">
        <v>1.495884883763732</v>
      </c>
      <c r="J990" s="59">
        <v>0</v>
      </c>
      <c r="K990" s="59">
        <v>6323.1168314814568</v>
      </c>
      <c r="L990" s="59">
        <v>0</v>
      </c>
      <c r="M990" s="11">
        <v>0.87232738733291626</v>
      </c>
      <c r="N990" s="11">
        <v>0.68038558959960938</v>
      </c>
      <c r="O990" s="11">
        <v>0.38552284240722656</v>
      </c>
      <c r="Q990" s="59">
        <v>15.159960823803361</v>
      </c>
      <c r="R990" s="78">
        <v>652.75625255305397</v>
      </c>
      <c r="S990" s="78">
        <v>15.307555647627991</v>
      </c>
      <c r="T990" s="78">
        <v>604.42329684678521</v>
      </c>
      <c r="U990" s="78">
        <v>0.14759482382462963</v>
      </c>
      <c r="V990" s="78">
        <v>-48.332955706268763</v>
      </c>
      <c r="Y990" s="28"/>
      <c r="Z990" s="28"/>
      <c r="AK990" s="28"/>
      <c r="AS990" s="28"/>
      <c r="AT990" s="28"/>
    </row>
    <row r="991" spans="3:46" x14ac:dyDescent="0.15">
      <c r="C991" s="11">
        <v>2.2277295589447021E-2</v>
      </c>
      <c r="D991" s="11">
        <v>3.3705532550811768E-3</v>
      </c>
      <c r="E991" s="11">
        <v>0.29076194498244606</v>
      </c>
      <c r="F991" s="11">
        <v>0</v>
      </c>
      <c r="G991" s="11">
        <v>7.105553150177002E-2</v>
      </c>
      <c r="H991" s="40">
        <v>6.0603957719487941E-4</v>
      </c>
      <c r="I991" s="40">
        <v>1.2676687339544717</v>
      </c>
      <c r="J991" s="59">
        <v>0</v>
      </c>
      <c r="K991" s="59">
        <v>3725.4020571708679</v>
      </c>
      <c r="L991" s="59">
        <v>0</v>
      </c>
      <c r="M991" s="11">
        <v>0.87929493188858032</v>
      </c>
      <c r="N991" s="11">
        <v>0.76547890901565552</v>
      </c>
      <c r="O991" s="11">
        <v>0.2922426164150238</v>
      </c>
      <c r="Q991" s="59">
        <v>15.135686237166896</v>
      </c>
      <c r="R991" s="78">
        <v>469.18551138962977</v>
      </c>
      <c r="S991" s="78">
        <v>15.170855031124864</v>
      </c>
      <c r="T991" s="78">
        <v>601.06332535277852</v>
      </c>
      <c r="U991" s="78">
        <v>3.5168793957968347E-2</v>
      </c>
      <c r="V991" s="78">
        <v>131.87781396314875</v>
      </c>
      <c r="Y991" s="28"/>
      <c r="Z991" s="28"/>
      <c r="AK991" s="28"/>
      <c r="AS991" s="28"/>
      <c r="AT991" s="28"/>
    </row>
    <row r="992" spans="3:46" x14ac:dyDescent="0.15">
      <c r="C992" s="11">
        <v>2.2706300020217896E-2</v>
      </c>
      <c r="D992" s="11">
        <v>2.1081402897834778E-2</v>
      </c>
      <c r="E992" s="11">
        <v>0.27574137865794474</v>
      </c>
      <c r="F992" s="11">
        <v>0</v>
      </c>
      <c r="G992" s="11">
        <v>2.8563514351844788E-2</v>
      </c>
      <c r="H992" s="40">
        <v>3.6556612622301766E-4</v>
      </c>
      <c r="I992" s="40">
        <v>1.5036531370728135</v>
      </c>
      <c r="J992" s="59">
        <v>0</v>
      </c>
      <c r="K992" s="59">
        <v>6507.8306943178177</v>
      </c>
      <c r="L992" s="59">
        <v>0</v>
      </c>
      <c r="M992" s="11">
        <v>0.85460156202316284</v>
      </c>
      <c r="N992" s="11">
        <v>0.75276803970336914</v>
      </c>
      <c r="O992" s="11">
        <v>0.30782642960548401</v>
      </c>
      <c r="Q992" s="59">
        <v>14.697118127594933</v>
      </c>
      <c r="R992" s="78">
        <v>521.01883989526732</v>
      </c>
      <c r="S992" s="78">
        <v>14.737036015266376</v>
      </c>
      <c r="T992" s="78">
        <v>614.49549547032598</v>
      </c>
      <c r="U992" s="78">
        <v>3.9917887671442998E-2</v>
      </c>
      <c r="V992" s="78">
        <v>93.476655575058658</v>
      </c>
      <c r="Y992" s="28"/>
      <c r="Z992" s="28"/>
      <c r="AK992" s="28"/>
      <c r="AS992" s="28"/>
      <c r="AT992" s="28"/>
    </row>
    <row r="993" spans="3:48" x14ac:dyDescent="0.15">
      <c r="C993" s="11">
        <v>5.5590629577636719E-2</v>
      </c>
      <c r="D993" s="11">
        <v>2.578619122505188E-2</v>
      </c>
      <c r="E993" s="11">
        <v>0.1723210488764606</v>
      </c>
      <c r="F993" s="11">
        <v>0</v>
      </c>
      <c r="G993" s="11">
        <v>9.6899509429931641E-2</v>
      </c>
      <c r="H993" s="40">
        <v>4.0739756949513767E-4</v>
      </c>
      <c r="I993" s="40">
        <v>1.5254450343939234</v>
      </c>
      <c r="J993" s="59">
        <v>0</v>
      </c>
      <c r="K993" s="59">
        <v>6422.8149130940437</v>
      </c>
      <c r="L993" s="59">
        <v>0</v>
      </c>
      <c r="M993" s="11">
        <v>0.86271065473556519</v>
      </c>
      <c r="N993" s="11">
        <v>0.70167553424835205</v>
      </c>
      <c r="O993" s="11">
        <v>0.27936893701553345</v>
      </c>
      <c r="Q993" s="59">
        <v>14.295720116502251</v>
      </c>
      <c r="R993" s="78">
        <v>586.78571984635153</v>
      </c>
      <c r="S993" s="78">
        <v>14.37460000443129</v>
      </c>
      <c r="T993" s="78">
        <v>612.80437808272552</v>
      </c>
      <c r="U993" s="78">
        <v>7.8879887929039327E-2</v>
      </c>
      <c r="V993" s="78">
        <v>26.018658236373994</v>
      </c>
      <c r="Y993" s="28"/>
      <c r="Z993" s="28"/>
      <c r="AK993" s="28"/>
      <c r="AS993" s="28"/>
      <c r="AT993" s="28"/>
    </row>
    <row r="994" spans="3:48" x14ac:dyDescent="0.15">
      <c r="C994" s="11">
        <v>1.3191312551498413E-2</v>
      </c>
      <c r="D994" s="11">
        <v>1.0980933904647827E-2</v>
      </c>
      <c r="E994" s="11">
        <v>0.25133824581472197</v>
      </c>
      <c r="F994" s="11">
        <v>0</v>
      </c>
      <c r="G994" s="11">
        <v>1.7762362957000732E-2</v>
      </c>
      <c r="H994" s="40">
        <v>5.0041746935411847E-4</v>
      </c>
      <c r="I994" s="40">
        <v>1.5351492187236708</v>
      </c>
      <c r="J994" s="59">
        <v>0</v>
      </c>
      <c r="K994" s="59">
        <v>3255.7407394051552</v>
      </c>
      <c r="L994" s="59">
        <v>0</v>
      </c>
      <c r="M994" s="11">
        <v>0.87751805782318115</v>
      </c>
      <c r="N994" s="11">
        <v>0.72322750091552734</v>
      </c>
      <c r="O994" s="11">
        <v>0.33495438098907471</v>
      </c>
      <c r="Q994" s="59">
        <v>15.196487907218101</v>
      </c>
      <c r="R994" s="78">
        <v>483.88459270389774</v>
      </c>
      <c r="S994" s="78">
        <v>15.270117482220373</v>
      </c>
      <c r="T994" s="78">
        <v>602.07711319007478</v>
      </c>
      <c r="U994" s="78">
        <v>7.3629575002271963E-2</v>
      </c>
      <c r="V994" s="78">
        <v>118.19252048617705</v>
      </c>
      <c r="Y994" s="28"/>
      <c r="Z994" s="28"/>
      <c r="AK994" s="28"/>
      <c r="AS994" s="28"/>
      <c r="AT994" s="28"/>
    </row>
    <row r="995" spans="3:48" x14ac:dyDescent="0.15">
      <c r="C995" s="11">
        <v>1.8037095665931702E-2</v>
      </c>
      <c r="D995" s="11">
        <v>4.8552513122558594E-2</v>
      </c>
      <c r="E995" s="11">
        <v>0.34077548755561826</v>
      </c>
      <c r="F995" s="11">
        <v>0</v>
      </c>
      <c r="G995" s="11">
        <v>1.9533693790435791E-2</v>
      </c>
      <c r="H995" s="40">
        <v>3.0618320481284829E-4</v>
      </c>
      <c r="I995" s="40">
        <v>1.4024954989621423</v>
      </c>
      <c r="J995" s="59">
        <v>0</v>
      </c>
      <c r="K995" s="59">
        <v>9277.4629592895508</v>
      </c>
      <c r="L995" s="59">
        <v>0</v>
      </c>
      <c r="M995" s="11">
        <v>0.85449361801147461</v>
      </c>
      <c r="N995" s="11">
        <v>0.72930091619491577</v>
      </c>
      <c r="O995" s="11">
        <v>0.31706184148788452</v>
      </c>
      <c r="Q995" s="59">
        <v>14.77928787202338</v>
      </c>
      <c r="R995" s="78">
        <v>501.84577204324216</v>
      </c>
      <c r="S995" s="78">
        <v>14.806783653893868</v>
      </c>
      <c r="T995" s="78">
        <v>616.01884616458017</v>
      </c>
      <c r="U995" s="78">
        <v>2.7495781870488401E-2</v>
      </c>
      <c r="V995" s="78">
        <v>114.173074121338</v>
      </c>
      <c r="Y995" s="28"/>
      <c r="Z995" s="28"/>
      <c r="AK995" s="28"/>
      <c r="AS995" s="28"/>
      <c r="AT995" s="28"/>
    </row>
    <row r="996" spans="3:48" x14ac:dyDescent="0.15">
      <c r="C996" s="11">
        <v>1.8985897302627563E-2</v>
      </c>
      <c r="D996" s="11">
        <v>9.5840096473693848E-3</v>
      </c>
      <c r="E996" s="11">
        <v>0.46823002036333006</v>
      </c>
      <c r="F996" s="11">
        <v>0</v>
      </c>
      <c r="G996" s="11">
        <v>3.0904382467269897E-2</v>
      </c>
      <c r="H996" s="40">
        <v>3.4306542162802019E-4</v>
      </c>
      <c r="I996" s="40">
        <v>1.4749714353905257</v>
      </c>
      <c r="J996" s="59">
        <v>0</v>
      </c>
      <c r="K996" s="59">
        <v>5568.887572735548</v>
      </c>
      <c r="L996" s="59">
        <v>0</v>
      </c>
      <c r="M996" s="11">
        <v>0.8135446310043335</v>
      </c>
      <c r="N996" s="11">
        <v>0.77572393417358398</v>
      </c>
      <c r="O996" s="11">
        <v>0.34344685077667236</v>
      </c>
      <c r="Q996" s="59">
        <v>14.069790210712814</v>
      </c>
      <c r="R996" s="78">
        <v>489.80198348156176</v>
      </c>
      <c r="S996" s="78">
        <v>14.084277585603736</v>
      </c>
      <c r="T996" s="78">
        <v>624.23135809585631</v>
      </c>
      <c r="U996" s="78">
        <v>1.4487374890922666E-2</v>
      </c>
      <c r="V996" s="78">
        <v>134.42937461429455</v>
      </c>
      <c r="Y996" s="28"/>
      <c r="Z996" s="28"/>
      <c r="AK996" s="28"/>
      <c r="AS996" s="28"/>
      <c r="AT996" s="28"/>
    </row>
    <row r="997" spans="3:48" x14ac:dyDescent="0.15">
      <c r="C997" s="11">
        <v>1.9029378890991211E-3</v>
      </c>
      <c r="D997" s="11">
        <v>2.0440623164176941E-2</v>
      </c>
      <c r="E997" s="11">
        <v>0.26061943929540615</v>
      </c>
      <c r="F997" s="11">
        <v>0</v>
      </c>
      <c r="G997" s="11">
        <v>1.5784770250320435E-2</v>
      </c>
      <c r="H997" s="40">
        <v>4.6651614027820029E-4</v>
      </c>
      <c r="I997" s="40">
        <v>1.4243029299021246</v>
      </c>
      <c r="J997" s="59">
        <v>0</v>
      </c>
      <c r="K997" s="59">
        <v>5330.4200991988182</v>
      </c>
      <c r="L997" s="59">
        <v>0</v>
      </c>
      <c r="M997" s="11">
        <v>0.84874147176742554</v>
      </c>
      <c r="N997" s="11">
        <v>0.7099539041519165</v>
      </c>
      <c r="O997" s="11">
        <v>0.336761474609375</v>
      </c>
      <c r="Q997" s="59">
        <v>14.899282523260414</v>
      </c>
      <c r="R997" s="78">
        <v>493.72942970422514</v>
      </c>
      <c r="S997" s="78">
        <v>14.946352370665311</v>
      </c>
      <c r="T997" s="78">
        <v>605.34176021747032</v>
      </c>
      <c r="U997" s="78">
        <v>4.7069847404896947E-2</v>
      </c>
      <c r="V997" s="78">
        <v>111.61233051324518</v>
      </c>
      <c r="Y997" s="28"/>
      <c r="Z997" s="28"/>
      <c r="AK997" s="28"/>
      <c r="AS997" s="28"/>
      <c r="AT997" s="28"/>
    </row>
    <row r="998" spans="3:48" x14ac:dyDescent="0.15">
      <c r="C998" s="11">
        <v>1.7225205898284912E-2</v>
      </c>
      <c r="D998" s="11">
        <v>1.8552303314208984E-2</v>
      </c>
      <c r="E998" s="11">
        <v>0.37837428784559929</v>
      </c>
      <c r="F998" s="11">
        <v>0</v>
      </c>
      <c r="G998" s="11">
        <v>6.0748636722564697E-2</v>
      </c>
      <c r="H998" s="40">
        <v>4.7847397324369618E-4</v>
      </c>
      <c r="I998" s="40">
        <v>1.4853769307811109</v>
      </c>
      <c r="J998" s="59">
        <v>0</v>
      </c>
      <c r="K998" s="59">
        <v>6075.4898004233837</v>
      </c>
      <c r="L998" s="59">
        <v>0</v>
      </c>
      <c r="M998" s="11">
        <v>0.86362648010253906</v>
      </c>
      <c r="N998" s="11">
        <v>0.71850192546844482</v>
      </c>
      <c r="O998" s="11">
        <v>0.32844316959381104</v>
      </c>
      <c r="Q998" s="59">
        <v>14.904802204284239</v>
      </c>
      <c r="R998" s="78">
        <v>566.62036023669668</v>
      </c>
      <c r="S998" s="78">
        <v>14.95846195930851</v>
      </c>
      <c r="T998" s="78">
        <v>645.21077242775016</v>
      </c>
      <c r="U998" s="78">
        <v>5.3659755024270339E-2</v>
      </c>
      <c r="V998" s="78">
        <v>78.590412191053474</v>
      </c>
      <c r="Y998" s="28"/>
      <c r="Z998" s="28"/>
      <c r="AK998" s="28"/>
      <c r="AS998" s="28"/>
      <c r="AT998" s="28"/>
    </row>
    <row r="999" spans="3:48" x14ac:dyDescent="0.15">
      <c r="C999" s="11">
        <v>5.5197954177856445E-2</v>
      </c>
      <c r="D999" s="11">
        <v>2.1415859460830688E-2</v>
      </c>
      <c r="E999" s="11">
        <v>0.22284454913034094</v>
      </c>
      <c r="F999" s="11">
        <v>0</v>
      </c>
      <c r="G999" s="11">
        <v>5.9691071510314941E-2</v>
      </c>
      <c r="H999" s="40">
        <v>3.7630057042414996E-4</v>
      </c>
      <c r="I999" s="40">
        <v>1.4475542753323791</v>
      </c>
      <c r="J999" s="59">
        <v>0</v>
      </c>
      <c r="K999" s="59">
        <v>3988.0187250673771</v>
      </c>
      <c r="L999" s="59">
        <v>0</v>
      </c>
      <c r="M999" s="11">
        <v>0.8541642427444458</v>
      </c>
      <c r="N999" s="11">
        <v>0.76589089632034302</v>
      </c>
      <c r="O999" s="11">
        <v>0.23475885391235352</v>
      </c>
      <c r="Q999" s="59">
        <v>14.204462768279633</v>
      </c>
      <c r="R999" s="78">
        <v>470.78566066199892</v>
      </c>
      <c r="S999" s="78">
        <v>14.243418118118059</v>
      </c>
      <c r="T999" s="78">
        <v>596.31451469896854</v>
      </c>
      <c r="U999" s="78">
        <v>3.8955349838426301E-2</v>
      </c>
      <c r="V999" s="78">
        <v>125.52885403696962</v>
      </c>
      <c r="Y999" s="28"/>
      <c r="Z999" s="28"/>
      <c r="AK999" s="28"/>
      <c r="AS999" s="28"/>
      <c r="AT999" s="28"/>
    </row>
    <row r="1000" spans="3:48" x14ac:dyDescent="0.15">
      <c r="C1000" s="11">
        <v>1.2278228998184204E-2</v>
      </c>
      <c r="D1000" s="11">
        <v>1.790463924407959E-3</v>
      </c>
      <c r="E1000" s="11">
        <v>0.36325193282423163</v>
      </c>
      <c r="F1000" s="11">
        <v>0</v>
      </c>
      <c r="G1000" s="11">
        <v>1.2925326824188232E-2</v>
      </c>
      <c r="H1000" s="40">
        <v>3.8101313158606283E-4</v>
      </c>
      <c r="I1000" s="40">
        <v>1.5177064853890392</v>
      </c>
      <c r="J1000" s="59">
        <v>0</v>
      </c>
      <c r="K1000" s="59">
        <v>3177.812322974205</v>
      </c>
      <c r="L1000" s="59">
        <v>0</v>
      </c>
      <c r="M1000" s="11">
        <v>0.87377250194549561</v>
      </c>
      <c r="N1000" s="11">
        <v>0.81055140495300293</v>
      </c>
      <c r="O1000" s="11">
        <v>0.28733789920806885</v>
      </c>
      <c r="Q1000" s="59">
        <v>15.201988848093539</v>
      </c>
      <c r="R1000" s="78">
        <v>456.19308991855456</v>
      </c>
      <c r="S1000" s="78">
        <v>15.228780315991763</v>
      </c>
      <c r="T1000" s="78">
        <v>601.88923727852068</v>
      </c>
      <c r="U1000" s="78">
        <v>2.6791467898224397E-2</v>
      </c>
      <c r="V1000" s="78">
        <v>145.69614735996612</v>
      </c>
      <c r="Y1000" s="28"/>
      <c r="Z1000" s="28"/>
      <c r="AK1000" s="28"/>
      <c r="AS1000" s="28"/>
      <c r="AT1000" s="28"/>
    </row>
    <row r="1001" spans="3:48" x14ac:dyDescent="0.15">
      <c r="C1001" s="11">
        <v>3.9526283740997314E-2</v>
      </c>
      <c r="D1001" s="11">
        <v>2.2426635026931763E-2</v>
      </c>
      <c r="E1001" s="11">
        <v>0.1948858402163158</v>
      </c>
      <c r="F1001" s="11">
        <v>0</v>
      </c>
      <c r="G1001" s="11">
        <v>4.1005909442901611E-2</v>
      </c>
      <c r="H1001" s="40">
        <v>3.3942798210219205E-4</v>
      </c>
      <c r="I1001" s="40">
        <v>1.4404924458805044</v>
      </c>
      <c r="J1001" s="59">
        <v>0</v>
      </c>
      <c r="K1001" s="59">
        <v>5385.0002586841583</v>
      </c>
      <c r="L1001" s="59">
        <v>0</v>
      </c>
      <c r="M1001" s="11">
        <v>0.77806663513183594</v>
      </c>
      <c r="N1001" s="11">
        <v>0.79190433025360107</v>
      </c>
      <c r="O1001" s="11">
        <v>0.31101483106613159</v>
      </c>
      <c r="Q1001" s="59">
        <v>13.18328613473013</v>
      </c>
      <c r="R1001" s="78">
        <v>479.39952124646771</v>
      </c>
      <c r="S1001" s="78">
        <v>13.196867463320554</v>
      </c>
      <c r="T1001" s="78">
        <v>595.82641242520515</v>
      </c>
      <c r="U1001" s="78">
        <v>1.3581328590424491E-2</v>
      </c>
      <c r="V1001" s="78">
        <v>116.42689117873743</v>
      </c>
      <c r="Y1001" s="28"/>
      <c r="Z1001" s="28"/>
      <c r="AK1001" s="28"/>
      <c r="AS1001" s="28"/>
      <c r="AT1001" s="28"/>
    </row>
    <row r="1002" spans="3:48" x14ac:dyDescent="0.15">
      <c r="C1002" s="11">
        <v>1.4000296592712402E-2</v>
      </c>
      <c r="D1002" s="11">
        <v>2.1699786186218262E-2</v>
      </c>
      <c r="E1002" s="11">
        <v>0.24455762087858854</v>
      </c>
      <c r="F1002" s="11">
        <v>0</v>
      </c>
      <c r="G1002" s="11">
        <v>1.9178986549377441E-2</v>
      </c>
      <c r="H1002" s="40">
        <v>5.0971287022412448E-4</v>
      </c>
      <c r="I1002" s="40">
        <v>1.4921205359376095</v>
      </c>
      <c r="J1002" s="59">
        <v>0</v>
      </c>
      <c r="K1002" s="59">
        <v>5499.2060177028179</v>
      </c>
      <c r="L1002" s="59">
        <v>0</v>
      </c>
      <c r="M1002" s="11">
        <v>0.83213341236114502</v>
      </c>
      <c r="N1002" s="11">
        <v>0.76653987169265747</v>
      </c>
      <c r="O1002" s="11">
        <v>0.30785173177719116</v>
      </c>
      <c r="Q1002" s="59">
        <v>14.434448549760317</v>
      </c>
      <c r="R1002" s="78">
        <v>531.49302931643888</v>
      </c>
      <c r="S1002" s="78">
        <v>14.478115002785602</v>
      </c>
      <c r="T1002" s="78">
        <v>613.26328947609397</v>
      </c>
      <c r="U1002" s="78">
        <v>4.3666453025284824E-2</v>
      </c>
      <c r="V1002" s="78">
        <v>81.770260159655095</v>
      </c>
      <c r="Y1002" s="28"/>
      <c r="Z1002" s="28"/>
      <c r="AK1002" s="28"/>
      <c r="AS1002" s="28"/>
      <c r="AT1002" s="28"/>
    </row>
    <row r="1003" spans="3:48" x14ac:dyDescent="0.15">
      <c r="C1003" s="11">
        <v>5.8771073818206787E-3</v>
      </c>
      <c r="D1003" s="11">
        <v>8.9371353387832642E-3</v>
      </c>
      <c r="E1003" s="11">
        <v>0.34534602693520394</v>
      </c>
      <c r="F1003" s="11">
        <v>0</v>
      </c>
      <c r="G1003" s="11">
        <v>2.7399808168411255E-2</v>
      </c>
      <c r="H1003" s="40">
        <v>6.3553444856468452E-4</v>
      </c>
      <c r="I1003" s="40">
        <v>1.3459003104465854</v>
      </c>
      <c r="J1003" s="59">
        <v>0</v>
      </c>
      <c r="K1003" s="59">
        <v>5151.3430662453175</v>
      </c>
      <c r="L1003" s="59">
        <v>0</v>
      </c>
      <c r="M1003" s="11">
        <v>0.84010162949562073</v>
      </c>
      <c r="N1003" s="11">
        <v>0.74048662185668945</v>
      </c>
      <c r="O1003" s="11">
        <v>0.25420916080474854</v>
      </c>
      <c r="Q1003" s="59">
        <v>14.69414607635558</v>
      </c>
      <c r="R1003" s="78">
        <v>505.35138722526563</v>
      </c>
      <c r="S1003" s="78">
        <v>14.731732138093729</v>
      </c>
      <c r="T1003" s="78">
        <v>617.92293760013092</v>
      </c>
      <c r="U1003" s="78">
        <v>3.7586061738149823E-2</v>
      </c>
      <c r="V1003" s="78">
        <v>112.5715503748653</v>
      </c>
      <c r="Y1003" s="28"/>
      <c r="Z1003" s="28"/>
      <c r="AK1003" s="28"/>
      <c r="AS1003" s="28"/>
      <c r="AT1003" s="28"/>
    </row>
    <row r="1004" spans="3:48" x14ac:dyDescent="0.15">
      <c r="C1004" s="11">
        <v>3.3879756927490234E-2</v>
      </c>
      <c r="D1004" s="11">
        <v>1.4777630567550659E-2</v>
      </c>
      <c r="E1004" s="11">
        <v>0.18496882741030937</v>
      </c>
      <c r="F1004" s="11">
        <v>0</v>
      </c>
      <c r="G1004" s="11">
        <v>3.8411527872085571E-2</v>
      </c>
      <c r="H1004" s="40">
        <v>5.1624404263910103E-4</v>
      </c>
      <c r="I1004" s="40">
        <v>1.4963415245656519</v>
      </c>
      <c r="J1004" s="59">
        <v>0</v>
      </c>
      <c r="K1004" s="59">
        <v>4140.0780901312828</v>
      </c>
      <c r="L1004" s="59">
        <v>0</v>
      </c>
      <c r="M1004" s="11">
        <v>0.84573182463645935</v>
      </c>
      <c r="N1004" s="11">
        <v>0.69357597827911377</v>
      </c>
      <c r="O1004" s="11">
        <v>0.29039421677589417</v>
      </c>
      <c r="Q1004" s="59">
        <v>14.33879662920244</v>
      </c>
      <c r="R1004" s="78">
        <v>509.69394097608398</v>
      </c>
      <c r="S1004" s="78">
        <v>14.414784164916462</v>
      </c>
      <c r="T1004" s="78">
        <v>600.84124710946367</v>
      </c>
      <c r="U1004" s="78">
        <v>7.5987535714022059E-2</v>
      </c>
      <c r="V1004" s="78">
        <v>91.147306133379686</v>
      </c>
      <c r="Y1004" s="28"/>
      <c r="Z1004" s="28"/>
      <c r="AK1004" s="28"/>
      <c r="AS1004" s="28"/>
      <c r="AT1004" s="28"/>
    </row>
    <row r="1005" spans="3:48" x14ac:dyDescent="0.15">
      <c r="C1005" s="11">
        <v>6.9157183170318604E-3</v>
      </c>
      <c r="D1005" s="11">
        <v>1.5337273478507996E-2</v>
      </c>
      <c r="E1005" s="11">
        <v>0.37759594427374832</v>
      </c>
      <c r="F1005" s="11">
        <v>0</v>
      </c>
      <c r="G1005" s="11">
        <v>7.1036458015441895E-2</v>
      </c>
      <c r="H1005" s="40">
        <v>3.4080872987079705E-4</v>
      </c>
      <c r="I1005" s="40">
        <v>1.6107795624031933</v>
      </c>
      <c r="J1005" s="59">
        <v>0</v>
      </c>
      <c r="K1005" s="59">
        <v>4096.5178050100803</v>
      </c>
      <c r="L1005" s="59">
        <v>0</v>
      </c>
      <c r="M1005" s="11">
        <v>0.85153216123580933</v>
      </c>
      <c r="N1005" s="11">
        <v>0.80823826789855957</v>
      </c>
      <c r="O1005" s="11">
        <v>0.29427540302276611</v>
      </c>
      <c r="Q1005" s="59">
        <v>14.878792270932156</v>
      </c>
      <c r="R1005" s="78">
        <v>520.20177697641009</v>
      </c>
      <c r="S1005" s="78">
        <v>14.914661510530555</v>
      </c>
      <c r="T1005" s="78">
        <v>627.37093835119219</v>
      </c>
      <c r="U1005" s="78">
        <v>3.5869239598399716E-2</v>
      </c>
      <c r="V1005" s="78">
        <v>107.16916137478211</v>
      </c>
      <c r="Y1005" s="28"/>
      <c r="Z1005" s="28"/>
      <c r="AK1005" s="28"/>
      <c r="AS1005" s="28"/>
      <c r="AT1005" s="28"/>
    </row>
    <row r="1006" spans="3:48" x14ac:dyDescent="0.15">
      <c r="Y1006" s="28"/>
      <c r="Z1006" s="28"/>
      <c r="AK1006" s="28"/>
    </row>
    <row r="1007" spans="3:48" x14ac:dyDescent="0.15">
      <c r="Q1007" s="135">
        <f t="shared" ref="Q1007:V1007" si="15">AVERAGE(Q6:Q1005)</f>
        <v>14.65124181941971</v>
      </c>
      <c r="R1007" s="135">
        <f t="shared" si="15"/>
        <v>513.57964022876013</v>
      </c>
      <c r="S1007" s="135">
        <f t="shared" si="15"/>
        <v>14.695456244991908</v>
      </c>
      <c r="T1007" s="135">
        <f t="shared" si="15"/>
        <v>612.90303632091479</v>
      </c>
      <c r="U1007" s="135">
        <f t="shared" si="15"/>
        <v>4.42144255721761E-2</v>
      </c>
      <c r="V1007" s="135">
        <f t="shared" si="15"/>
        <v>99.323396092154525</v>
      </c>
      <c r="AK1007" s="28"/>
      <c r="AL1007"/>
      <c r="AO1007"/>
      <c r="AR1007"/>
      <c r="AV1007"/>
    </row>
    <row r="1008" spans="3:48" x14ac:dyDescent="0.15">
      <c r="Y1008" s="28"/>
      <c r="Z1008" s="28"/>
      <c r="AK1008" s="28"/>
    </row>
    <row r="1009" spans="25:37" x14ac:dyDescent="0.15">
      <c r="Y1009" s="28"/>
      <c r="Z1009" s="28"/>
      <c r="AK1009" s="28"/>
    </row>
    <row r="1010" spans="25:37" x14ac:dyDescent="0.15">
      <c r="Y1010" s="28"/>
      <c r="Z1010" s="28"/>
      <c r="AK1010" s="28"/>
    </row>
    <row r="1011" spans="25:37" x14ac:dyDescent="0.15">
      <c r="Y1011" s="28"/>
      <c r="Z1011" s="28"/>
      <c r="AK1011" s="28"/>
    </row>
    <row r="1012" spans="25:37" x14ac:dyDescent="0.15">
      <c r="Y1012" s="28"/>
      <c r="Z1012" s="28"/>
      <c r="AK1012" s="28"/>
    </row>
    <row r="1013" spans="25:37" x14ac:dyDescent="0.15">
      <c r="Y1013" s="28"/>
      <c r="Z1013" s="28"/>
      <c r="AK1013" s="28"/>
    </row>
    <row r="1014" spans="25:37" x14ac:dyDescent="0.15">
      <c r="Y1014" s="28"/>
      <c r="Z1014" s="28"/>
      <c r="AK1014" s="28"/>
    </row>
    <row r="1015" spans="25:37" x14ac:dyDescent="0.15">
      <c r="Y1015" s="28"/>
      <c r="Z1015" s="28"/>
      <c r="AK1015" s="28"/>
    </row>
    <row r="1016" spans="25:37" x14ac:dyDescent="0.15">
      <c r="Y1016" s="28"/>
      <c r="Z1016" s="28"/>
      <c r="AK1016" s="28"/>
    </row>
    <row r="1017" spans="25:37" x14ac:dyDescent="0.15">
      <c r="Y1017" s="28"/>
      <c r="Z1017" s="28"/>
      <c r="AK1017" s="28"/>
    </row>
    <row r="1018" spans="25:37" x14ac:dyDescent="0.15">
      <c r="Y1018" s="28"/>
      <c r="Z1018" s="28"/>
      <c r="AK1018" s="28"/>
    </row>
    <row r="1019" spans="25:37" x14ac:dyDescent="0.15">
      <c r="Y1019" s="28"/>
      <c r="Z1019" s="28"/>
      <c r="AK1019" s="28"/>
    </row>
    <row r="1020" spans="25:37" x14ac:dyDescent="0.15">
      <c r="Y1020" s="28"/>
      <c r="Z1020" s="28"/>
      <c r="AK1020" s="28"/>
    </row>
    <row r="1021" spans="25:37" x14ac:dyDescent="0.15">
      <c r="Y1021" s="28"/>
      <c r="Z1021" s="28"/>
      <c r="AK1021" s="28"/>
    </row>
    <row r="1022" spans="25:37" x14ac:dyDescent="0.15">
      <c r="Y1022" s="28"/>
      <c r="Z1022" s="28"/>
      <c r="AK1022" s="28"/>
    </row>
    <row r="1023" spans="25:37" x14ac:dyDescent="0.15">
      <c r="Y1023" s="28"/>
      <c r="Z1023" s="28"/>
      <c r="AK1023" s="28"/>
    </row>
    <row r="1024" spans="25:37" x14ac:dyDescent="0.15">
      <c r="Y1024" s="28"/>
      <c r="Z1024" s="28"/>
      <c r="AK1024" s="28"/>
    </row>
    <row r="1025" spans="25:37" x14ac:dyDescent="0.15">
      <c r="Y1025" s="28"/>
      <c r="Z1025" s="28"/>
      <c r="AK1025" s="28"/>
    </row>
    <row r="1026" spans="25:37" x14ac:dyDescent="0.15">
      <c r="Y1026" s="28"/>
      <c r="Z1026" s="28"/>
      <c r="AK1026" s="28"/>
    </row>
    <row r="1027" spans="25:37" x14ac:dyDescent="0.15">
      <c r="Y1027" s="28"/>
      <c r="Z1027" s="28"/>
      <c r="AK1027" s="28"/>
    </row>
    <row r="1028" spans="25:37" x14ac:dyDescent="0.15">
      <c r="Y1028" s="28"/>
      <c r="Z1028" s="28"/>
      <c r="AK1028" s="28"/>
    </row>
    <row r="1029" spans="25:37" x14ac:dyDescent="0.15">
      <c r="Y1029" s="28"/>
      <c r="Z1029" s="28"/>
      <c r="AK1029" s="28"/>
    </row>
    <row r="1030" spans="25:37" x14ac:dyDescent="0.15">
      <c r="Y1030" s="28"/>
      <c r="Z1030" s="28"/>
      <c r="AK1030" s="28"/>
    </row>
    <row r="1031" spans="25:37" x14ac:dyDescent="0.15">
      <c r="Y1031" s="28"/>
      <c r="Z1031" s="28"/>
      <c r="AK1031" s="28"/>
    </row>
    <row r="1032" spans="25:37" x14ac:dyDescent="0.15">
      <c r="Y1032" s="28"/>
      <c r="Z1032" s="28"/>
      <c r="AK1032" s="28"/>
    </row>
    <row r="1033" spans="25:37" x14ac:dyDescent="0.15">
      <c r="Y1033" s="28"/>
      <c r="Z1033" s="28"/>
      <c r="AK1033" s="28"/>
    </row>
    <row r="1034" spans="25:37" x14ac:dyDescent="0.15">
      <c r="Y1034" s="28"/>
      <c r="Z1034" s="28"/>
      <c r="AK1034" s="28"/>
    </row>
    <row r="1035" spans="25:37" x14ac:dyDescent="0.15">
      <c r="Y1035" s="28"/>
      <c r="Z1035" s="28"/>
      <c r="AK1035" s="28"/>
    </row>
    <row r="1036" spans="25:37" x14ac:dyDescent="0.15">
      <c r="Y1036" s="28"/>
      <c r="Z1036" s="28"/>
      <c r="AK1036" s="28"/>
    </row>
    <row r="1037" spans="25:37" x14ac:dyDescent="0.15">
      <c r="Y1037" s="28"/>
      <c r="Z1037" s="28"/>
      <c r="AK1037" s="28"/>
    </row>
    <row r="1038" spans="25:37" x14ac:dyDescent="0.15">
      <c r="Y1038" s="28"/>
      <c r="Z1038" s="28"/>
      <c r="AK1038" s="28"/>
    </row>
    <row r="1039" spans="25:37" x14ac:dyDescent="0.15">
      <c r="Y1039" s="28"/>
      <c r="Z1039" s="28"/>
      <c r="AK1039" s="28"/>
    </row>
    <row r="1040" spans="25:37" x14ac:dyDescent="0.15">
      <c r="Y1040" s="28"/>
      <c r="Z1040" s="28"/>
      <c r="AK1040" s="28"/>
    </row>
    <row r="1041" spans="25:37" x14ac:dyDescent="0.15">
      <c r="Y1041" s="28"/>
      <c r="Z1041" s="28"/>
      <c r="AK1041" s="28"/>
    </row>
    <row r="1042" spans="25:37" x14ac:dyDescent="0.15">
      <c r="Y1042" s="28"/>
      <c r="Z1042" s="28"/>
      <c r="AK1042" s="28"/>
    </row>
    <row r="1043" spans="25:37" x14ac:dyDescent="0.15">
      <c r="Y1043" s="28"/>
      <c r="Z1043" s="28"/>
      <c r="AK1043" s="28"/>
    </row>
    <row r="1044" spans="25:37" x14ac:dyDescent="0.15">
      <c r="Y1044" s="28"/>
      <c r="Z1044" s="28"/>
      <c r="AK1044" s="28"/>
    </row>
    <row r="1045" spans="25:37" x14ac:dyDescent="0.15">
      <c r="Y1045" s="28"/>
      <c r="Z1045" s="28"/>
      <c r="AK1045" s="28"/>
    </row>
    <row r="1046" spans="25:37" x14ac:dyDescent="0.15">
      <c r="Y1046" s="28"/>
      <c r="Z1046" s="28"/>
      <c r="AK1046" s="28"/>
    </row>
    <row r="1047" spans="25:37" x14ac:dyDescent="0.15">
      <c r="Y1047" s="28"/>
      <c r="Z1047" s="28"/>
      <c r="AK1047" s="28"/>
    </row>
    <row r="1048" spans="25:37" x14ac:dyDescent="0.15">
      <c r="Y1048" s="28"/>
      <c r="Z1048" s="28"/>
      <c r="AK1048" s="28"/>
    </row>
    <row r="1049" spans="25:37" x14ac:dyDescent="0.15">
      <c r="Y1049" s="28"/>
      <c r="Z1049" s="28"/>
      <c r="AK1049" s="28"/>
    </row>
    <row r="1050" spans="25:37" x14ac:dyDescent="0.15">
      <c r="Y1050" s="28"/>
      <c r="Z1050" s="28"/>
      <c r="AK1050" s="28"/>
    </row>
    <row r="1051" spans="25:37" x14ac:dyDescent="0.15">
      <c r="Y1051" s="28"/>
      <c r="Z1051" s="28"/>
      <c r="AK1051" s="28"/>
    </row>
    <row r="1052" spans="25:37" x14ac:dyDescent="0.15">
      <c r="Y1052" s="28"/>
      <c r="Z1052" s="28"/>
      <c r="AK1052" s="28"/>
    </row>
    <row r="1053" spans="25:37" x14ac:dyDescent="0.15">
      <c r="Y1053" s="28"/>
      <c r="Z1053" s="28"/>
      <c r="AK1053" s="28"/>
    </row>
    <row r="1054" spans="25:37" x14ac:dyDescent="0.15">
      <c r="Y1054" s="28"/>
      <c r="Z1054" s="28"/>
      <c r="AK1054" s="28"/>
    </row>
    <row r="1055" spans="25:37" x14ac:dyDescent="0.15">
      <c r="Y1055" s="28"/>
      <c r="Z1055" s="28"/>
      <c r="AK1055" s="28"/>
    </row>
    <row r="1056" spans="25:37" x14ac:dyDescent="0.15">
      <c r="Y1056" s="28"/>
      <c r="Z1056" s="28"/>
      <c r="AK1056" s="28"/>
    </row>
    <row r="1057" spans="25:37" x14ac:dyDescent="0.15">
      <c r="Y1057" s="28"/>
      <c r="Z1057" s="28"/>
      <c r="AK1057" s="28"/>
    </row>
    <row r="1058" spans="25:37" x14ac:dyDescent="0.15">
      <c r="Y1058" s="28"/>
      <c r="Z1058" s="28"/>
      <c r="AK1058" s="28"/>
    </row>
    <row r="1059" spans="25:37" x14ac:dyDescent="0.15">
      <c r="Y1059" s="28"/>
      <c r="Z1059" s="28"/>
      <c r="AK1059" s="28"/>
    </row>
    <row r="1060" spans="25:37" x14ac:dyDescent="0.15">
      <c r="Y1060" s="28"/>
      <c r="Z1060" s="28"/>
      <c r="AK1060" s="28"/>
    </row>
    <row r="1061" spans="25:37" x14ac:dyDescent="0.15">
      <c r="Y1061" s="28"/>
      <c r="Z1061" s="28"/>
      <c r="AK1061" s="28"/>
    </row>
    <row r="1062" spans="25:37" x14ac:dyDescent="0.15">
      <c r="Y1062" s="28"/>
      <c r="Z1062" s="28"/>
      <c r="AK1062" s="28"/>
    </row>
    <row r="1063" spans="25:37" x14ac:dyDescent="0.15">
      <c r="Y1063" s="28"/>
      <c r="Z1063" s="28"/>
      <c r="AK1063" s="28"/>
    </row>
    <row r="1064" spans="25:37" x14ac:dyDescent="0.15">
      <c r="Y1064" s="28"/>
      <c r="Z1064" s="28"/>
      <c r="AK1064" s="28"/>
    </row>
    <row r="1065" spans="25:37" x14ac:dyDescent="0.15">
      <c r="Y1065" s="28"/>
      <c r="Z1065" s="28"/>
      <c r="AK1065" s="28"/>
    </row>
    <row r="1066" spans="25:37" x14ac:dyDescent="0.15">
      <c r="Y1066" s="28"/>
      <c r="Z1066" s="28"/>
      <c r="AK1066" s="28"/>
    </row>
    <row r="1067" spans="25:37" x14ac:dyDescent="0.15">
      <c r="Y1067" s="28"/>
      <c r="Z1067" s="28"/>
      <c r="AK1067" s="28"/>
    </row>
    <row r="1068" spans="25:37" x14ac:dyDescent="0.15">
      <c r="Y1068" s="28"/>
      <c r="Z1068" s="28"/>
      <c r="AK1068" s="28"/>
    </row>
    <row r="1069" spans="25:37" x14ac:dyDescent="0.15">
      <c r="Y1069" s="28"/>
      <c r="Z1069" s="28"/>
      <c r="AK1069" s="28"/>
    </row>
    <row r="1070" spans="25:37" x14ac:dyDescent="0.15">
      <c r="Y1070" s="28"/>
      <c r="Z1070" s="28"/>
      <c r="AK1070" s="28"/>
    </row>
    <row r="1071" spans="25:37" x14ac:dyDescent="0.15">
      <c r="Y1071" s="28"/>
      <c r="Z1071" s="28"/>
      <c r="AK1071" s="28"/>
    </row>
    <row r="1072" spans="25:37" x14ac:dyDescent="0.15">
      <c r="Y1072" s="28"/>
      <c r="Z1072" s="28"/>
      <c r="AK1072" s="28"/>
    </row>
    <row r="1073" spans="25:37" x14ac:dyDescent="0.15">
      <c r="Y1073" s="28"/>
      <c r="Z1073" s="28"/>
      <c r="AK1073" s="28"/>
    </row>
    <row r="1074" spans="25:37" x14ac:dyDescent="0.15">
      <c r="Y1074" s="28"/>
      <c r="Z1074" s="28"/>
      <c r="AK1074" s="28"/>
    </row>
    <row r="1075" spans="25:37" x14ac:dyDescent="0.15">
      <c r="Y1075" s="28"/>
      <c r="Z1075" s="28"/>
      <c r="AK1075" s="28"/>
    </row>
    <row r="1076" spans="25:37" x14ac:dyDescent="0.15">
      <c r="Y1076" s="28"/>
      <c r="Z1076" s="28"/>
      <c r="AK1076" s="28"/>
    </row>
    <row r="1077" spans="25:37" x14ac:dyDescent="0.15">
      <c r="Y1077" s="28"/>
      <c r="Z1077" s="28"/>
      <c r="AK1077" s="28"/>
    </row>
    <row r="1078" spans="25:37" x14ac:dyDescent="0.15">
      <c r="Y1078" s="28"/>
      <c r="Z1078" s="28"/>
      <c r="AK1078" s="28"/>
    </row>
    <row r="1079" spans="25:37" x14ac:dyDescent="0.15">
      <c r="Y1079" s="28"/>
      <c r="Z1079" s="28"/>
      <c r="AK1079" s="28"/>
    </row>
    <row r="1080" spans="25:37" x14ac:dyDescent="0.15">
      <c r="Y1080" s="28"/>
      <c r="Z1080" s="28"/>
      <c r="AK1080" s="28"/>
    </row>
    <row r="1081" spans="25:37" x14ac:dyDescent="0.15">
      <c r="Y1081" s="28"/>
      <c r="Z1081" s="28"/>
      <c r="AK1081" s="28"/>
    </row>
    <row r="1082" spans="25:37" x14ac:dyDescent="0.15">
      <c r="Y1082" s="28"/>
      <c r="Z1082" s="28"/>
      <c r="AK1082" s="28"/>
    </row>
    <row r="1083" spans="25:37" x14ac:dyDescent="0.15">
      <c r="Y1083" s="28"/>
      <c r="Z1083" s="28"/>
      <c r="AK1083" s="28"/>
    </row>
    <row r="1084" spans="25:37" x14ac:dyDescent="0.15">
      <c r="Y1084" s="28"/>
      <c r="Z1084" s="28"/>
      <c r="AK1084" s="28"/>
    </row>
    <row r="1085" spans="25:37" x14ac:dyDescent="0.15">
      <c r="Y1085" s="28"/>
      <c r="Z1085" s="28"/>
      <c r="AK1085" s="28"/>
    </row>
    <row r="1086" spans="25:37" x14ac:dyDescent="0.15">
      <c r="Y1086" s="28"/>
      <c r="Z1086" s="28"/>
      <c r="AK1086" s="28"/>
    </row>
    <row r="1087" spans="25:37" x14ac:dyDescent="0.15">
      <c r="Y1087" s="28"/>
      <c r="Z1087" s="28"/>
      <c r="AK1087" s="28"/>
    </row>
    <row r="1088" spans="25:37" x14ac:dyDescent="0.15">
      <c r="Y1088" s="28"/>
      <c r="Z1088" s="28"/>
      <c r="AK1088" s="28"/>
    </row>
    <row r="1089" spans="25:37" x14ac:dyDescent="0.15">
      <c r="Y1089" s="28"/>
      <c r="Z1089" s="28"/>
      <c r="AK1089" s="28"/>
    </row>
    <row r="1090" spans="25:37" x14ac:dyDescent="0.15">
      <c r="Y1090" s="28"/>
      <c r="Z1090" s="28"/>
      <c r="AK1090" s="28"/>
    </row>
    <row r="1091" spans="25:37" x14ac:dyDescent="0.15">
      <c r="Y1091" s="28"/>
      <c r="Z1091" s="28"/>
      <c r="AK1091" s="28"/>
    </row>
    <row r="1092" spans="25:37" x14ac:dyDescent="0.15">
      <c r="Y1092" s="28"/>
      <c r="Z1092" s="28"/>
      <c r="AK1092" s="28"/>
    </row>
    <row r="1093" spans="25:37" x14ac:dyDescent="0.15">
      <c r="Y1093" s="28"/>
      <c r="Z1093" s="28"/>
      <c r="AK1093" s="28"/>
    </row>
    <row r="1094" spans="25:37" x14ac:dyDescent="0.15">
      <c r="Y1094" s="28"/>
      <c r="Z1094" s="28"/>
      <c r="AK1094" s="28"/>
    </row>
    <row r="1095" spans="25:37" x14ac:dyDescent="0.15">
      <c r="Y1095" s="28"/>
      <c r="Z1095" s="28"/>
      <c r="AK1095" s="28"/>
    </row>
    <row r="1096" spans="25:37" x14ac:dyDescent="0.15">
      <c r="Y1096" s="28"/>
      <c r="Z1096" s="28"/>
      <c r="AK1096" s="28"/>
    </row>
    <row r="1097" spans="25:37" x14ac:dyDescent="0.15">
      <c r="Y1097" s="28"/>
      <c r="Z1097" s="28"/>
      <c r="AK1097" s="28"/>
    </row>
    <row r="1098" spans="25:37" x14ac:dyDescent="0.15">
      <c r="Y1098" s="28"/>
      <c r="Z1098" s="28"/>
      <c r="AK1098" s="28"/>
    </row>
    <row r="1099" spans="25:37" x14ac:dyDescent="0.15">
      <c r="Y1099" s="28"/>
      <c r="Z1099" s="28"/>
      <c r="AK1099" s="28"/>
    </row>
    <row r="1100" spans="25:37" x14ac:dyDescent="0.15">
      <c r="Y1100" s="28"/>
      <c r="Z1100" s="28"/>
      <c r="AK1100" s="28"/>
    </row>
    <row r="1101" spans="25:37" x14ac:dyDescent="0.15">
      <c r="Y1101" s="28"/>
      <c r="Z1101" s="28"/>
      <c r="AK1101" s="28"/>
    </row>
    <row r="1102" spans="25:37" x14ac:dyDescent="0.15">
      <c r="Y1102" s="28"/>
      <c r="Z1102" s="28"/>
      <c r="AK1102" s="28"/>
    </row>
    <row r="1103" spans="25:37" x14ac:dyDescent="0.15">
      <c r="Y1103" s="28"/>
      <c r="Z1103" s="28"/>
      <c r="AK1103" s="28"/>
    </row>
    <row r="1104" spans="25:37" x14ac:dyDescent="0.15">
      <c r="Y1104" s="28"/>
      <c r="Z1104" s="28"/>
      <c r="AK1104" s="28"/>
    </row>
    <row r="1105" spans="25:37" x14ac:dyDescent="0.15">
      <c r="Y1105" s="28"/>
      <c r="Z1105" s="28"/>
      <c r="AK1105" s="28"/>
    </row>
    <row r="1106" spans="25:37" x14ac:dyDescent="0.15">
      <c r="Y1106" s="28"/>
      <c r="Z1106" s="28"/>
      <c r="AK1106" s="28"/>
    </row>
    <row r="1107" spans="25:37" x14ac:dyDescent="0.15">
      <c r="Y1107" s="28"/>
      <c r="Z1107" s="28"/>
      <c r="AK1107" s="28"/>
    </row>
    <row r="1108" spans="25:37" x14ac:dyDescent="0.15">
      <c r="Y1108" s="28"/>
      <c r="Z1108" s="28"/>
      <c r="AK1108" s="28"/>
    </row>
    <row r="1109" spans="25:37" x14ac:dyDescent="0.15">
      <c r="Y1109" s="28"/>
      <c r="Z1109" s="28"/>
      <c r="AK1109" s="28"/>
    </row>
    <row r="1110" spans="25:37" x14ac:dyDescent="0.15">
      <c r="Y1110" s="28"/>
      <c r="Z1110" s="28"/>
      <c r="AK1110" s="28"/>
    </row>
    <row r="1111" spans="25:37" x14ac:dyDescent="0.15">
      <c r="Y1111" s="28"/>
      <c r="Z1111" s="28"/>
      <c r="AK1111" s="28"/>
    </row>
    <row r="1112" spans="25:37" x14ac:dyDescent="0.15">
      <c r="Y1112" s="28"/>
      <c r="Z1112" s="28"/>
      <c r="AK1112" s="28"/>
    </row>
    <row r="1113" spans="25:37" x14ac:dyDescent="0.15">
      <c r="Y1113" s="28"/>
      <c r="Z1113" s="28"/>
      <c r="AK1113" s="28"/>
    </row>
    <row r="1114" spans="25:37" x14ac:dyDescent="0.15">
      <c r="Y1114" s="28"/>
      <c r="Z1114" s="28"/>
      <c r="AK1114" s="28"/>
    </row>
    <row r="1115" spans="25:37" x14ac:dyDescent="0.15">
      <c r="Y1115" s="28"/>
      <c r="Z1115" s="28"/>
      <c r="AK1115" s="28"/>
    </row>
    <row r="1116" spans="25:37" x14ac:dyDescent="0.15">
      <c r="Y1116" s="28"/>
      <c r="Z1116" s="28"/>
      <c r="AK1116" s="28"/>
    </row>
    <row r="1117" spans="25:37" x14ac:dyDescent="0.15">
      <c r="Y1117" s="28"/>
      <c r="Z1117" s="28"/>
      <c r="AK1117" s="28"/>
    </row>
    <row r="1118" spans="25:37" x14ac:dyDescent="0.15">
      <c r="Y1118" s="28"/>
      <c r="Z1118" s="28"/>
      <c r="AK1118" s="28"/>
    </row>
    <row r="1119" spans="25:37" x14ac:dyDescent="0.15">
      <c r="Y1119" s="28"/>
      <c r="Z1119" s="28"/>
      <c r="AK1119" s="28"/>
    </row>
    <row r="1120" spans="25:37" x14ac:dyDescent="0.15">
      <c r="Y1120" s="28"/>
      <c r="Z1120" s="28"/>
      <c r="AK1120" s="28"/>
    </row>
    <row r="1121" spans="25:37" x14ac:dyDescent="0.15">
      <c r="Y1121" s="28"/>
      <c r="Z1121" s="28"/>
      <c r="AK1121" s="28"/>
    </row>
    <row r="1122" spans="25:37" x14ac:dyDescent="0.15">
      <c r="Y1122" s="28"/>
      <c r="Z1122" s="28"/>
      <c r="AK1122" s="28"/>
    </row>
    <row r="1123" spans="25:37" x14ac:dyDescent="0.15">
      <c r="Y1123" s="28"/>
      <c r="Z1123" s="28"/>
      <c r="AK1123" s="28"/>
    </row>
    <row r="1124" spans="25:37" x14ac:dyDescent="0.15">
      <c r="Y1124" s="28"/>
      <c r="Z1124" s="28"/>
      <c r="AK1124" s="28"/>
    </row>
    <row r="1125" spans="25:37" x14ac:dyDescent="0.15">
      <c r="Y1125" s="28"/>
      <c r="Z1125" s="28"/>
      <c r="AK1125" s="28"/>
    </row>
    <row r="1126" spans="25:37" x14ac:dyDescent="0.15">
      <c r="Y1126" s="28"/>
      <c r="Z1126" s="28"/>
      <c r="AK1126" s="28"/>
    </row>
    <row r="1127" spans="25:37" x14ac:dyDescent="0.15">
      <c r="Y1127" s="28"/>
      <c r="Z1127" s="28"/>
      <c r="AK1127" s="28"/>
    </row>
    <row r="1128" spans="25:37" x14ac:dyDescent="0.15">
      <c r="Y1128" s="28"/>
      <c r="Z1128" s="28"/>
      <c r="AK1128" s="28"/>
    </row>
    <row r="1129" spans="25:37" x14ac:dyDescent="0.15">
      <c r="Y1129" s="28"/>
      <c r="Z1129" s="28"/>
      <c r="AK1129" s="28"/>
    </row>
    <row r="1130" spans="25:37" x14ac:dyDescent="0.15">
      <c r="Y1130" s="28"/>
      <c r="Z1130" s="28"/>
      <c r="AK1130" s="28"/>
    </row>
    <row r="1131" spans="25:37" x14ac:dyDescent="0.15">
      <c r="Y1131" s="28"/>
      <c r="Z1131" s="28"/>
      <c r="AK1131" s="28"/>
    </row>
    <row r="1132" spans="25:37" x14ac:dyDescent="0.15">
      <c r="Y1132" s="28"/>
      <c r="Z1132" s="28"/>
      <c r="AK1132" s="28"/>
    </row>
    <row r="1133" spans="25:37" x14ac:dyDescent="0.15">
      <c r="Y1133" s="28"/>
      <c r="Z1133" s="28"/>
      <c r="AK1133" s="28"/>
    </row>
    <row r="1134" spans="25:37" x14ac:dyDescent="0.15">
      <c r="Y1134" s="28"/>
      <c r="Z1134" s="28"/>
      <c r="AK1134" s="28"/>
    </row>
    <row r="1135" spans="25:37" x14ac:dyDescent="0.15">
      <c r="Y1135" s="28"/>
      <c r="Z1135" s="28"/>
      <c r="AK1135" s="28"/>
    </row>
    <row r="1136" spans="25:37" x14ac:dyDescent="0.15">
      <c r="Y1136" s="28"/>
      <c r="Z1136" s="28"/>
      <c r="AK1136" s="28"/>
    </row>
    <row r="1137" spans="25:37" x14ac:dyDescent="0.15">
      <c r="Y1137" s="28"/>
      <c r="Z1137" s="28"/>
      <c r="AK1137" s="28"/>
    </row>
    <row r="1138" spans="25:37" x14ac:dyDescent="0.15">
      <c r="Y1138" s="28"/>
      <c r="Z1138" s="28"/>
      <c r="AK1138" s="28"/>
    </row>
    <row r="1139" spans="25:37" x14ac:dyDescent="0.15">
      <c r="Y1139" s="28"/>
      <c r="Z1139" s="28"/>
      <c r="AK1139" s="28"/>
    </row>
    <row r="1140" spans="25:37" x14ac:dyDescent="0.15">
      <c r="Y1140" s="28"/>
      <c r="Z1140" s="28"/>
      <c r="AK1140" s="28"/>
    </row>
    <row r="1141" spans="25:37" x14ac:dyDescent="0.15">
      <c r="Y1141" s="28"/>
      <c r="Z1141" s="28"/>
      <c r="AK1141" s="28"/>
    </row>
    <row r="1142" spans="25:37" x14ac:dyDescent="0.15">
      <c r="Y1142" s="28"/>
      <c r="Z1142" s="28"/>
      <c r="AK1142" s="28"/>
    </row>
    <row r="1143" spans="25:37" x14ac:dyDescent="0.15">
      <c r="Y1143" s="28"/>
      <c r="Z1143" s="28"/>
      <c r="AK1143" s="28"/>
    </row>
    <row r="1144" spans="25:37" x14ac:dyDescent="0.15">
      <c r="Y1144" s="28"/>
      <c r="Z1144" s="28"/>
      <c r="AK1144" s="28"/>
    </row>
    <row r="1145" spans="25:37" x14ac:dyDescent="0.15">
      <c r="Y1145" s="28"/>
      <c r="Z1145" s="28"/>
      <c r="AK1145" s="28"/>
    </row>
    <row r="1146" spans="25:37" x14ac:dyDescent="0.15">
      <c r="Y1146" s="28"/>
      <c r="Z1146" s="28"/>
      <c r="AK1146" s="28"/>
    </row>
    <row r="1147" spans="25:37" x14ac:dyDescent="0.15">
      <c r="Y1147" s="28"/>
      <c r="Z1147" s="28"/>
      <c r="AK1147" s="28"/>
    </row>
    <row r="1148" spans="25:37" x14ac:dyDescent="0.15">
      <c r="Y1148" s="28"/>
      <c r="Z1148" s="28"/>
      <c r="AK1148" s="28"/>
    </row>
    <row r="1149" spans="25:37" x14ac:dyDescent="0.15">
      <c r="Y1149" s="28"/>
      <c r="Z1149" s="28"/>
      <c r="AK1149" s="28"/>
    </row>
    <row r="1150" spans="25:37" x14ac:dyDescent="0.15">
      <c r="Y1150" s="28"/>
      <c r="Z1150" s="28"/>
      <c r="AK1150" s="28"/>
    </row>
    <row r="1151" spans="25:37" x14ac:dyDescent="0.15">
      <c r="Y1151" s="28"/>
      <c r="Z1151" s="28"/>
      <c r="AK1151" s="28"/>
    </row>
    <row r="1152" spans="25:37" x14ac:dyDescent="0.15">
      <c r="Y1152" s="28"/>
      <c r="Z1152" s="28"/>
      <c r="AK1152" s="28"/>
    </row>
    <row r="1153" spans="25:37" x14ac:dyDescent="0.15">
      <c r="Y1153" s="28"/>
      <c r="Z1153" s="28"/>
      <c r="AK1153" s="28"/>
    </row>
    <row r="1154" spans="25:37" x14ac:dyDescent="0.15">
      <c r="Y1154" s="28"/>
      <c r="Z1154" s="28"/>
      <c r="AK1154" s="28"/>
    </row>
    <row r="1155" spans="25:37" x14ac:dyDescent="0.15">
      <c r="Y1155" s="28"/>
      <c r="Z1155" s="28"/>
      <c r="AK1155" s="28"/>
    </row>
    <row r="1156" spans="25:37" x14ac:dyDescent="0.15">
      <c r="Y1156" s="28"/>
      <c r="Z1156" s="28"/>
      <c r="AK1156" s="28"/>
    </row>
    <row r="1157" spans="25:37" x14ac:dyDescent="0.15">
      <c r="Y1157" s="28"/>
      <c r="Z1157" s="28"/>
      <c r="AK1157" s="28"/>
    </row>
    <row r="1158" spans="25:37" x14ac:dyDescent="0.15">
      <c r="Y1158" s="28"/>
      <c r="Z1158" s="28"/>
      <c r="AK1158" s="28"/>
    </row>
    <row r="1159" spans="25:37" x14ac:dyDescent="0.15">
      <c r="Y1159" s="28"/>
      <c r="Z1159" s="28"/>
      <c r="AK1159" s="28"/>
    </row>
    <row r="1160" spans="25:37" x14ac:dyDescent="0.15">
      <c r="Y1160" s="28"/>
      <c r="Z1160" s="28"/>
      <c r="AK1160" s="28"/>
    </row>
    <row r="1161" spans="25:37" x14ac:dyDescent="0.15">
      <c r="Y1161" s="28"/>
      <c r="Z1161" s="28"/>
      <c r="AK1161" s="28"/>
    </row>
    <row r="1162" spans="25:37" x14ac:dyDescent="0.15">
      <c r="Y1162" s="28"/>
      <c r="Z1162" s="28"/>
      <c r="AK1162" s="28"/>
    </row>
    <row r="1163" spans="25:37" x14ac:dyDescent="0.15">
      <c r="Y1163" s="28"/>
      <c r="Z1163" s="28"/>
      <c r="AK1163" s="28"/>
    </row>
    <row r="1164" spans="25:37" x14ac:dyDescent="0.15">
      <c r="Y1164" s="28"/>
      <c r="Z1164" s="28"/>
      <c r="AK1164" s="28"/>
    </row>
    <row r="1165" spans="25:37" x14ac:dyDescent="0.15">
      <c r="Y1165" s="28"/>
      <c r="Z1165" s="28"/>
      <c r="AK1165" s="28"/>
    </row>
    <row r="1166" spans="25:37" x14ac:dyDescent="0.15">
      <c r="Y1166" s="28"/>
      <c r="Z1166" s="28"/>
      <c r="AK1166" s="28"/>
    </row>
    <row r="1167" spans="25:37" x14ac:dyDescent="0.15">
      <c r="Y1167" s="28"/>
      <c r="Z1167" s="28"/>
      <c r="AK1167" s="28"/>
    </row>
    <row r="1168" spans="25:37" x14ac:dyDescent="0.15">
      <c r="Y1168" s="28"/>
      <c r="Z1168" s="28"/>
      <c r="AK1168" s="28"/>
    </row>
    <row r="1169" spans="25:37" x14ac:dyDescent="0.15">
      <c r="Y1169" s="28"/>
      <c r="Z1169" s="28"/>
      <c r="AK1169" s="28"/>
    </row>
    <row r="1170" spans="25:37" x14ac:dyDescent="0.15">
      <c r="Y1170" s="28"/>
      <c r="Z1170" s="28"/>
      <c r="AK1170" s="28"/>
    </row>
    <row r="1171" spans="25:37" x14ac:dyDescent="0.15">
      <c r="Y1171" s="28"/>
      <c r="Z1171" s="28"/>
      <c r="AK1171" s="28"/>
    </row>
    <row r="1172" spans="25:37" x14ac:dyDescent="0.15">
      <c r="Y1172" s="28"/>
      <c r="Z1172" s="28"/>
      <c r="AK1172" s="28"/>
    </row>
    <row r="1173" spans="25:37" x14ac:dyDescent="0.15">
      <c r="Y1173" s="28"/>
      <c r="Z1173" s="28"/>
      <c r="AK1173" s="28"/>
    </row>
    <row r="1174" spans="25:37" x14ac:dyDescent="0.15">
      <c r="Y1174" s="28"/>
      <c r="Z1174" s="28"/>
      <c r="AK1174" s="28"/>
    </row>
    <row r="1175" spans="25:37" x14ac:dyDescent="0.15">
      <c r="Y1175" s="28"/>
      <c r="Z1175" s="28"/>
      <c r="AK1175" s="28"/>
    </row>
    <row r="1176" spans="25:37" x14ac:dyDescent="0.15">
      <c r="Y1176" s="28"/>
      <c r="Z1176" s="28"/>
      <c r="AK1176" s="28"/>
    </row>
    <row r="1177" spans="25:37" x14ac:dyDescent="0.15">
      <c r="Y1177" s="28"/>
      <c r="Z1177" s="28"/>
      <c r="AK1177" s="28"/>
    </row>
    <row r="1178" spans="25:37" x14ac:dyDescent="0.15">
      <c r="Y1178" s="28"/>
      <c r="Z1178" s="28"/>
      <c r="AK1178" s="28"/>
    </row>
    <row r="1179" spans="25:37" x14ac:dyDescent="0.15">
      <c r="Y1179" s="28"/>
      <c r="Z1179" s="28"/>
      <c r="AK1179" s="28"/>
    </row>
    <row r="1180" spans="25:37" x14ac:dyDescent="0.15">
      <c r="Y1180" s="28"/>
      <c r="Z1180" s="28"/>
      <c r="AK1180" s="28"/>
    </row>
    <row r="1181" spans="25:37" x14ac:dyDescent="0.15">
      <c r="Y1181" s="28"/>
      <c r="Z1181" s="28"/>
      <c r="AK1181" s="28"/>
    </row>
    <row r="1182" spans="25:37" x14ac:dyDescent="0.15">
      <c r="Y1182" s="28"/>
      <c r="Z1182" s="28"/>
      <c r="AK1182" s="28"/>
    </row>
    <row r="1183" spans="25:37" x14ac:dyDescent="0.15">
      <c r="Y1183" s="28"/>
      <c r="Z1183" s="28"/>
      <c r="AK1183" s="28"/>
    </row>
    <row r="1184" spans="25:37" x14ac:dyDescent="0.15">
      <c r="Y1184" s="28"/>
      <c r="Z1184" s="28"/>
      <c r="AK1184" s="28"/>
    </row>
    <row r="1185" spans="25:37" x14ac:dyDescent="0.15">
      <c r="Y1185" s="28"/>
      <c r="Z1185" s="28"/>
      <c r="AK1185" s="28"/>
    </row>
    <row r="1186" spans="25:37" x14ac:dyDescent="0.15">
      <c r="Y1186" s="28"/>
      <c r="Z1186" s="28"/>
      <c r="AK1186" s="28"/>
    </row>
    <row r="1187" spans="25:37" x14ac:dyDescent="0.15">
      <c r="Y1187" s="28"/>
      <c r="Z1187" s="28"/>
      <c r="AK1187" s="28"/>
    </row>
    <row r="1188" spans="25:37" x14ac:dyDescent="0.15">
      <c r="Y1188" s="28"/>
      <c r="Z1188" s="28"/>
      <c r="AK1188" s="28"/>
    </row>
    <row r="1189" spans="25:37" x14ac:dyDescent="0.15">
      <c r="Y1189" s="28"/>
      <c r="Z1189" s="28"/>
      <c r="AK1189" s="28"/>
    </row>
    <row r="1190" spans="25:37" x14ac:dyDescent="0.15">
      <c r="Y1190" s="28"/>
      <c r="Z1190" s="28"/>
      <c r="AK1190" s="28"/>
    </row>
    <row r="1191" spans="25:37" x14ac:dyDescent="0.15">
      <c r="Y1191" s="28"/>
      <c r="Z1191" s="28"/>
      <c r="AK1191" s="28"/>
    </row>
    <row r="1192" spans="25:37" x14ac:dyDescent="0.15">
      <c r="Y1192" s="28"/>
      <c r="Z1192" s="28"/>
      <c r="AK1192" s="28"/>
    </row>
    <row r="1193" spans="25:37" x14ac:dyDescent="0.15">
      <c r="Y1193" s="28"/>
      <c r="Z1193" s="28"/>
      <c r="AK1193" s="28"/>
    </row>
    <row r="1194" spans="25:37" x14ac:dyDescent="0.15">
      <c r="Y1194" s="28"/>
      <c r="Z1194" s="28"/>
      <c r="AK1194" s="28"/>
    </row>
    <row r="1195" spans="25:37" x14ac:dyDescent="0.15">
      <c r="Y1195" s="28"/>
      <c r="Z1195" s="28"/>
      <c r="AK1195" s="28"/>
    </row>
    <row r="1196" spans="25:37" x14ac:dyDescent="0.15">
      <c r="Y1196" s="28"/>
      <c r="Z1196" s="28"/>
      <c r="AK1196" s="28"/>
    </row>
    <row r="1197" spans="25:37" x14ac:dyDescent="0.15">
      <c r="Y1197" s="28"/>
      <c r="Z1197" s="28"/>
      <c r="AK1197" s="28"/>
    </row>
    <row r="1198" spans="25:37" x14ac:dyDescent="0.15">
      <c r="Y1198" s="28"/>
      <c r="Z1198" s="28"/>
      <c r="AK1198" s="28"/>
    </row>
    <row r="1199" spans="25:37" x14ac:dyDescent="0.15">
      <c r="Y1199" s="28"/>
      <c r="Z1199" s="28"/>
      <c r="AK1199" s="28"/>
    </row>
    <row r="1200" spans="25:37" x14ac:dyDescent="0.15">
      <c r="Y1200" s="28"/>
      <c r="Z1200" s="28"/>
      <c r="AK1200" s="28"/>
    </row>
    <row r="1201" spans="25:37" x14ac:dyDescent="0.15">
      <c r="Y1201" s="28"/>
      <c r="Z1201" s="28"/>
      <c r="AK1201" s="28"/>
    </row>
    <row r="1202" spans="25:37" x14ac:dyDescent="0.15">
      <c r="Y1202" s="28"/>
      <c r="Z1202" s="28"/>
      <c r="AK1202" s="28"/>
    </row>
    <row r="1203" spans="25:37" x14ac:dyDescent="0.15">
      <c r="Y1203" s="28"/>
      <c r="Z1203" s="28"/>
      <c r="AK1203" s="28"/>
    </row>
    <row r="1204" spans="25:37" x14ac:dyDescent="0.15">
      <c r="Y1204" s="28"/>
      <c r="Z1204" s="28"/>
      <c r="AK1204" s="28"/>
    </row>
    <row r="1205" spans="25:37" x14ac:dyDescent="0.15">
      <c r="Y1205" s="28"/>
      <c r="Z1205" s="28"/>
      <c r="AK1205" s="28"/>
    </row>
    <row r="1206" spans="25:37" x14ac:dyDescent="0.15">
      <c r="Y1206" s="28"/>
      <c r="Z1206" s="28"/>
      <c r="AK1206" s="28"/>
    </row>
    <row r="1207" spans="25:37" x14ac:dyDescent="0.15">
      <c r="Y1207" s="28"/>
      <c r="Z1207" s="28"/>
      <c r="AK1207" s="28"/>
    </row>
    <row r="1208" spans="25:37" x14ac:dyDescent="0.15">
      <c r="Y1208" s="28"/>
      <c r="Z1208" s="28"/>
      <c r="AK1208" s="28"/>
    </row>
    <row r="1209" spans="25:37" x14ac:dyDescent="0.15">
      <c r="Y1209" s="28"/>
      <c r="Z1209" s="28"/>
      <c r="AK1209" s="28"/>
    </row>
    <row r="1210" spans="25:37" x14ac:dyDescent="0.15">
      <c r="Y1210" s="28"/>
      <c r="Z1210" s="28"/>
      <c r="AK1210" s="28"/>
    </row>
    <row r="1211" spans="25:37" x14ac:dyDescent="0.15">
      <c r="Y1211" s="28"/>
      <c r="Z1211" s="28"/>
      <c r="AK1211" s="28"/>
    </row>
    <row r="1212" spans="25:37" x14ac:dyDescent="0.15">
      <c r="Y1212" s="28"/>
      <c r="Z1212" s="28"/>
      <c r="AK1212" s="28"/>
    </row>
    <row r="1213" spans="25:37" x14ac:dyDescent="0.15">
      <c r="Y1213" s="28"/>
      <c r="Z1213" s="28"/>
      <c r="AK1213" s="28"/>
    </row>
    <row r="1214" spans="25:37" x14ac:dyDescent="0.15">
      <c r="Y1214" s="28"/>
      <c r="Z1214" s="28"/>
      <c r="AK1214" s="28"/>
    </row>
    <row r="1215" spans="25:37" x14ac:dyDescent="0.15">
      <c r="Y1215" s="28"/>
      <c r="Z1215" s="28"/>
      <c r="AK1215" s="28"/>
    </row>
    <row r="1216" spans="25:37" x14ac:dyDescent="0.15">
      <c r="Y1216" s="28"/>
      <c r="Z1216" s="28"/>
      <c r="AK1216" s="28"/>
    </row>
    <row r="1217" spans="25:37" x14ac:dyDescent="0.15">
      <c r="Y1217" s="28"/>
      <c r="Z1217" s="28"/>
      <c r="AK1217" s="28"/>
    </row>
    <row r="1218" spans="25:37" x14ac:dyDescent="0.15">
      <c r="Y1218" s="28"/>
      <c r="Z1218" s="28"/>
      <c r="AK1218" s="28"/>
    </row>
    <row r="1219" spans="25:37" x14ac:dyDescent="0.15">
      <c r="Y1219" s="28"/>
      <c r="Z1219" s="28"/>
      <c r="AK1219" s="28"/>
    </row>
    <row r="1220" spans="25:37" x14ac:dyDescent="0.15">
      <c r="Y1220" s="28"/>
      <c r="Z1220" s="28"/>
      <c r="AK1220" s="28"/>
    </row>
    <row r="1221" spans="25:37" x14ac:dyDescent="0.15">
      <c r="Y1221" s="28"/>
      <c r="Z1221" s="28"/>
      <c r="AK1221" s="28"/>
    </row>
    <row r="1222" spans="25:37" x14ac:dyDescent="0.15">
      <c r="Y1222" s="28"/>
      <c r="Z1222" s="28"/>
      <c r="AK1222" s="28"/>
    </row>
    <row r="1223" spans="25:37" x14ac:dyDescent="0.15">
      <c r="Y1223" s="28"/>
      <c r="Z1223" s="28"/>
      <c r="AK1223" s="28"/>
    </row>
    <row r="1224" spans="25:37" x14ac:dyDescent="0.15">
      <c r="Y1224" s="28"/>
      <c r="Z1224" s="28"/>
      <c r="AK1224" s="28"/>
    </row>
    <row r="1225" spans="25:37" x14ac:dyDescent="0.15">
      <c r="Y1225" s="28"/>
      <c r="Z1225" s="28"/>
      <c r="AK1225" s="28"/>
    </row>
    <row r="1226" spans="25:37" x14ac:dyDescent="0.15">
      <c r="Y1226" s="28"/>
      <c r="Z1226" s="28"/>
      <c r="AK1226" s="28"/>
    </row>
    <row r="1227" spans="25:37" x14ac:dyDescent="0.15">
      <c r="Y1227" s="28"/>
      <c r="Z1227" s="28"/>
      <c r="AK1227" s="28"/>
    </row>
    <row r="1228" spans="25:37" x14ac:dyDescent="0.15">
      <c r="Y1228" s="28"/>
      <c r="Z1228" s="28"/>
      <c r="AK1228" s="28"/>
    </row>
    <row r="1229" spans="25:37" x14ac:dyDescent="0.15">
      <c r="Y1229" s="28"/>
      <c r="Z1229" s="28"/>
      <c r="AK1229" s="28"/>
    </row>
    <row r="1230" spans="25:37" x14ac:dyDescent="0.15">
      <c r="Y1230" s="28"/>
      <c r="Z1230" s="28"/>
      <c r="AK1230" s="28"/>
    </row>
    <row r="1231" spans="25:37" x14ac:dyDescent="0.15">
      <c r="Y1231" s="28"/>
      <c r="Z1231" s="28"/>
      <c r="AK1231" s="28"/>
    </row>
    <row r="1232" spans="25:37" x14ac:dyDescent="0.15">
      <c r="Y1232" s="28"/>
      <c r="Z1232" s="28"/>
      <c r="AK1232" s="28"/>
    </row>
    <row r="1233" spans="25:37" x14ac:dyDescent="0.15">
      <c r="Y1233" s="28"/>
      <c r="Z1233" s="28"/>
      <c r="AK1233" s="28"/>
    </row>
    <row r="1234" spans="25:37" x14ac:dyDescent="0.15">
      <c r="Y1234" s="28"/>
      <c r="Z1234" s="28"/>
      <c r="AK1234" s="28"/>
    </row>
    <row r="1235" spans="25:37" x14ac:dyDescent="0.15">
      <c r="Y1235" s="28"/>
      <c r="Z1235" s="28"/>
      <c r="AK1235" s="28"/>
    </row>
    <row r="1236" spans="25:37" x14ac:dyDescent="0.15">
      <c r="Y1236" s="28"/>
      <c r="Z1236" s="28"/>
      <c r="AK1236" s="28"/>
    </row>
    <row r="1237" spans="25:37" x14ac:dyDescent="0.15">
      <c r="Y1237" s="28"/>
      <c r="Z1237" s="28"/>
      <c r="AK1237" s="28"/>
    </row>
    <row r="1238" spans="25:37" x14ac:dyDescent="0.15">
      <c r="Y1238" s="28"/>
      <c r="Z1238" s="28"/>
      <c r="AK1238" s="28"/>
    </row>
    <row r="1239" spans="25:37" x14ac:dyDescent="0.15">
      <c r="Y1239" s="28"/>
      <c r="Z1239" s="28"/>
      <c r="AK1239" s="28"/>
    </row>
    <row r="1240" spans="25:37" x14ac:dyDescent="0.15">
      <c r="Y1240" s="28"/>
      <c r="Z1240" s="28"/>
      <c r="AK1240" s="28"/>
    </row>
    <row r="1241" spans="25:37" x14ac:dyDescent="0.15">
      <c r="Y1241" s="28"/>
      <c r="Z1241" s="28"/>
      <c r="AK1241" s="28"/>
    </row>
    <row r="1242" spans="25:37" x14ac:dyDescent="0.15">
      <c r="Y1242" s="28"/>
      <c r="Z1242" s="28"/>
      <c r="AK1242" s="28"/>
    </row>
    <row r="1243" spans="25:37" x14ac:dyDescent="0.15">
      <c r="Y1243" s="28"/>
      <c r="Z1243" s="28"/>
      <c r="AK1243" s="28"/>
    </row>
    <row r="1244" spans="25:37" x14ac:dyDescent="0.15">
      <c r="Y1244" s="28"/>
      <c r="Z1244" s="28"/>
      <c r="AK1244" s="28"/>
    </row>
    <row r="1245" spans="25:37" x14ac:dyDescent="0.15">
      <c r="Y1245" s="28"/>
      <c r="Z1245" s="28"/>
      <c r="AK1245" s="28"/>
    </row>
    <row r="1246" spans="25:37" x14ac:dyDescent="0.15">
      <c r="Y1246" s="28"/>
      <c r="Z1246" s="28"/>
      <c r="AK1246" s="28"/>
    </row>
    <row r="1247" spans="25:37" x14ac:dyDescent="0.15">
      <c r="Y1247" s="28"/>
      <c r="Z1247" s="28"/>
      <c r="AK1247" s="28"/>
    </row>
    <row r="1248" spans="25:37" x14ac:dyDescent="0.15">
      <c r="Y1248" s="28"/>
      <c r="Z1248" s="28"/>
      <c r="AK1248" s="28"/>
    </row>
    <row r="1249" spans="25:37" x14ac:dyDescent="0.15">
      <c r="Y1249" s="28"/>
      <c r="Z1249" s="28"/>
      <c r="AK1249" s="28"/>
    </row>
    <row r="1250" spans="25:37" x14ac:dyDescent="0.15">
      <c r="Y1250" s="28"/>
      <c r="Z1250" s="28"/>
      <c r="AK1250" s="28"/>
    </row>
    <row r="1251" spans="25:37" x14ac:dyDescent="0.15">
      <c r="Y1251" s="28"/>
      <c r="Z1251" s="28"/>
      <c r="AK1251" s="28"/>
    </row>
    <row r="1252" spans="25:37" x14ac:dyDescent="0.15">
      <c r="Y1252" s="28"/>
      <c r="Z1252" s="28"/>
      <c r="AK1252" s="28"/>
    </row>
    <row r="1253" spans="25:37" x14ac:dyDescent="0.15">
      <c r="Y1253" s="28"/>
      <c r="Z1253" s="28"/>
      <c r="AK1253" s="28"/>
    </row>
    <row r="1254" spans="25:37" x14ac:dyDescent="0.15">
      <c r="Y1254" s="28"/>
      <c r="Z1254" s="28"/>
      <c r="AK1254" s="28"/>
    </row>
    <row r="1255" spans="25:37" x14ac:dyDescent="0.15">
      <c r="Y1255" s="28"/>
      <c r="Z1255" s="28"/>
      <c r="AK1255" s="28"/>
    </row>
    <row r="1256" spans="25:37" x14ac:dyDescent="0.15">
      <c r="Y1256" s="28"/>
      <c r="Z1256" s="28"/>
      <c r="AK1256" s="28"/>
    </row>
    <row r="1257" spans="25:37" x14ac:dyDescent="0.15">
      <c r="Y1257" s="28"/>
      <c r="Z1257" s="28"/>
      <c r="AK1257" s="28"/>
    </row>
    <row r="1258" spans="25:37" x14ac:dyDescent="0.15">
      <c r="Y1258" s="28"/>
      <c r="Z1258" s="28"/>
      <c r="AK1258" s="28"/>
    </row>
    <row r="1259" spans="25:37" x14ac:dyDescent="0.15">
      <c r="Y1259" s="28"/>
      <c r="Z1259" s="28"/>
      <c r="AK1259" s="28"/>
    </row>
    <row r="1260" spans="25:37" x14ac:dyDescent="0.15">
      <c r="Y1260" s="28"/>
      <c r="Z1260" s="28"/>
      <c r="AK1260" s="28"/>
    </row>
    <row r="1261" spans="25:37" x14ac:dyDescent="0.15">
      <c r="Y1261" s="28"/>
      <c r="Z1261" s="28"/>
      <c r="AK1261" s="28"/>
    </row>
    <row r="1262" spans="25:37" x14ac:dyDescent="0.15">
      <c r="Y1262" s="28"/>
      <c r="Z1262" s="28"/>
      <c r="AK1262" s="28"/>
    </row>
    <row r="1263" spans="25:37" x14ac:dyDescent="0.15">
      <c r="Y1263" s="28"/>
      <c r="Z1263" s="28"/>
      <c r="AK1263" s="28"/>
    </row>
    <row r="1264" spans="25:37" x14ac:dyDescent="0.15">
      <c r="Y1264" s="28"/>
      <c r="Z1264" s="28"/>
      <c r="AK1264" s="28"/>
    </row>
    <row r="1265" spans="25:37" x14ac:dyDescent="0.15">
      <c r="Y1265" s="28"/>
      <c r="Z1265" s="28"/>
      <c r="AK1265" s="28"/>
    </row>
    <row r="1266" spans="25:37" x14ac:dyDescent="0.15">
      <c r="Y1266" s="28"/>
      <c r="Z1266" s="28"/>
      <c r="AK1266" s="28"/>
    </row>
    <row r="1267" spans="25:37" x14ac:dyDescent="0.15">
      <c r="Y1267" s="28"/>
      <c r="Z1267" s="28"/>
      <c r="AK1267" s="28"/>
    </row>
    <row r="1268" spans="25:37" x14ac:dyDescent="0.15">
      <c r="Y1268" s="28"/>
      <c r="Z1268" s="28"/>
      <c r="AK1268" s="28"/>
    </row>
    <row r="1269" spans="25:37" x14ac:dyDescent="0.15">
      <c r="Y1269" s="28"/>
      <c r="Z1269" s="28"/>
      <c r="AK1269" s="28"/>
    </row>
    <row r="1270" spans="25:37" x14ac:dyDescent="0.15">
      <c r="Y1270" s="28"/>
      <c r="Z1270" s="28"/>
      <c r="AK1270" s="28"/>
    </row>
    <row r="1271" spans="25:37" x14ac:dyDescent="0.15">
      <c r="Y1271" s="28"/>
      <c r="Z1271" s="28"/>
      <c r="AK1271" s="28"/>
    </row>
    <row r="1272" spans="25:37" x14ac:dyDescent="0.15">
      <c r="Y1272" s="28"/>
      <c r="Z1272" s="28"/>
      <c r="AK1272" s="28"/>
    </row>
    <row r="1273" spans="25:37" x14ac:dyDescent="0.15">
      <c r="Y1273" s="28"/>
      <c r="Z1273" s="28"/>
      <c r="AK1273" s="28"/>
    </row>
    <row r="1274" spans="25:37" x14ac:dyDescent="0.15">
      <c r="Y1274" s="28"/>
      <c r="Z1274" s="28"/>
      <c r="AK1274" s="28"/>
    </row>
    <row r="1275" spans="25:37" x14ac:dyDescent="0.15">
      <c r="Y1275" s="28"/>
      <c r="Z1275" s="28"/>
      <c r="AK1275" s="28"/>
    </row>
    <row r="1276" spans="25:37" x14ac:dyDescent="0.15">
      <c r="Y1276" s="28"/>
      <c r="Z1276" s="28"/>
      <c r="AK1276" s="28"/>
    </row>
    <row r="1277" spans="25:37" x14ac:dyDescent="0.15">
      <c r="Y1277" s="28"/>
      <c r="Z1277" s="28"/>
      <c r="AK1277" s="28"/>
    </row>
    <row r="1278" spans="25:37" x14ac:dyDescent="0.15">
      <c r="Y1278" s="28"/>
      <c r="Z1278" s="28"/>
      <c r="AK1278" s="28"/>
    </row>
    <row r="1279" spans="25:37" x14ac:dyDescent="0.15">
      <c r="Y1279" s="28"/>
      <c r="Z1279" s="28"/>
      <c r="AK1279" s="28"/>
    </row>
    <row r="1280" spans="25:37" x14ac:dyDescent="0.15">
      <c r="Y1280" s="28"/>
      <c r="Z1280" s="28"/>
      <c r="AK1280" s="28"/>
    </row>
    <row r="1281" spans="25:37" x14ac:dyDescent="0.15">
      <c r="Y1281" s="28"/>
      <c r="Z1281" s="28"/>
      <c r="AK1281" s="28"/>
    </row>
    <row r="1282" spans="25:37" x14ac:dyDescent="0.15">
      <c r="Y1282" s="28"/>
      <c r="Z1282" s="28"/>
      <c r="AK1282" s="28"/>
    </row>
    <row r="1283" spans="25:37" x14ac:dyDescent="0.15">
      <c r="Y1283" s="28"/>
      <c r="Z1283" s="28"/>
      <c r="AK1283" s="28"/>
    </row>
    <row r="1284" spans="25:37" x14ac:dyDescent="0.15">
      <c r="Y1284" s="28"/>
      <c r="Z1284" s="28"/>
      <c r="AK1284" s="28"/>
    </row>
    <row r="1285" spans="25:37" x14ac:dyDescent="0.15">
      <c r="Y1285" s="28"/>
      <c r="Z1285" s="28"/>
      <c r="AK1285" s="28"/>
    </row>
    <row r="1286" spans="25:37" x14ac:dyDescent="0.15">
      <c r="Y1286" s="28"/>
      <c r="Z1286" s="28"/>
      <c r="AK1286" s="28"/>
    </row>
    <row r="1287" spans="25:37" x14ac:dyDescent="0.15">
      <c r="Y1287" s="28"/>
      <c r="Z1287" s="28"/>
      <c r="AK1287" s="28"/>
    </row>
    <row r="1288" spans="25:37" x14ac:dyDescent="0.15">
      <c r="Y1288" s="28"/>
      <c r="Z1288" s="28"/>
      <c r="AK1288" s="28"/>
    </row>
    <row r="1289" spans="25:37" x14ac:dyDescent="0.15">
      <c r="Y1289" s="28"/>
      <c r="Z1289" s="28"/>
      <c r="AK1289" s="28"/>
    </row>
    <row r="1290" spans="25:37" x14ac:dyDescent="0.15">
      <c r="Y1290" s="28"/>
      <c r="Z1290" s="28"/>
      <c r="AK1290" s="28"/>
    </row>
    <row r="1291" spans="25:37" x14ac:dyDescent="0.15">
      <c r="Y1291" s="28"/>
      <c r="Z1291" s="28"/>
      <c r="AK1291" s="28"/>
    </row>
    <row r="1292" spans="25:37" x14ac:dyDescent="0.15">
      <c r="Y1292" s="28"/>
      <c r="Z1292" s="28"/>
      <c r="AK1292" s="28"/>
    </row>
    <row r="1293" spans="25:37" x14ac:dyDescent="0.15">
      <c r="Y1293" s="28"/>
      <c r="Z1293" s="28"/>
      <c r="AK1293" s="28"/>
    </row>
    <row r="1294" spans="25:37" x14ac:dyDescent="0.15">
      <c r="Y1294" s="28"/>
      <c r="Z1294" s="28"/>
      <c r="AK1294" s="28"/>
    </row>
    <row r="1295" spans="25:37" x14ac:dyDescent="0.15">
      <c r="Y1295" s="28"/>
      <c r="Z1295" s="28"/>
      <c r="AK1295" s="28"/>
    </row>
    <row r="1296" spans="25:37" x14ac:dyDescent="0.15">
      <c r="Y1296" s="28"/>
      <c r="Z1296" s="28"/>
      <c r="AK1296" s="28"/>
    </row>
    <row r="1297" spans="25:37" x14ac:dyDescent="0.15">
      <c r="Y1297" s="28"/>
      <c r="Z1297" s="28"/>
      <c r="AK1297" s="28"/>
    </row>
    <row r="1298" spans="25:37" x14ac:dyDescent="0.15">
      <c r="Y1298" s="28"/>
      <c r="Z1298" s="28"/>
      <c r="AK1298" s="28"/>
    </row>
    <row r="1299" spans="25:37" x14ac:dyDescent="0.15">
      <c r="Y1299" s="28"/>
      <c r="Z1299" s="28"/>
      <c r="AK1299" s="28"/>
    </row>
    <row r="1300" spans="25:37" x14ac:dyDescent="0.15">
      <c r="Y1300" s="28"/>
      <c r="Z1300" s="28"/>
      <c r="AK1300" s="28"/>
    </row>
    <row r="1301" spans="25:37" x14ac:dyDescent="0.15">
      <c r="Y1301" s="28"/>
      <c r="Z1301" s="28"/>
      <c r="AK1301" s="28"/>
    </row>
    <row r="1302" spans="25:37" x14ac:dyDescent="0.15">
      <c r="Y1302" s="28"/>
      <c r="Z1302" s="28"/>
      <c r="AK1302" s="28"/>
    </row>
    <row r="1303" spans="25:37" x14ac:dyDescent="0.15">
      <c r="Y1303" s="28"/>
      <c r="Z1303" s="28"/>
      <c r="AK1303" s="28"/>
    </row>
    <row r="1304" spans="25:37" x14ac:dyDescent="0.15">
      <c r="Y1304" s="28"/>
      <c r="Z1304" s="28"/>
      <c r="AK1304" s="28"/>
    </row>
    <row r="1305" spans="25:37" x14ac:dyDescent="0.15">
      <c r="Y1305" s="28"/>
      <c r="Z1305" s="28"/>
      <c r="AK1305" s="28"/>
    </row>
    <row r="1306" spans="25:37" x14ac:dyDescent="0.15">
      <c r="Y1306" s="28"/>
      <c r="Z1306" s="28"/>
      <c r="AK1306" s="28"/>
    </row>
    <row r="1307" spans="25:37" x14ac:dyDescent="0.15">
      <c r="Y1307" s="28"/>
      <c r="Z1307" s="28"/>
      <c r="AK1307" s="28"/>
    </row>
    <row r="1308" spans="25:37" x14ac:dyDescent="0.15">
      <c r="Y1308" s="28"/>
      <c r="Z1308" s="28"/>
      <c r="AK1308" s="28"/>
    </row>
    <row r="1309" spans="25:37" x14ac:dyDescent="0.15">
      <c r="Y1309" s="28"/>
      <c r="Z1309" s="28"/>
      <c r="AK1309" s="28"/>
    </row>
    <row r="1310" spans="25:37" x14ac:dyDescent="0.15">
      <c r="Y1310" s="28"/>
      <c r="Z1310" s="28"/>
      <c r="AK1310" s="28"/>
    </row>
    <row r="1311" spans="25:37" x14ac:dyDescent="0.15">
      <c r="Y1311" s="28"/>
      <c r="Z1311" s="28"/>
      <c r="AK1311" s="28"/>
    </row>
    <row r="1312" spans="25:37" x14ac:dyDescent="0.15">
      <c r="Y1312" s="28"/>
      <c r="Z1312" s="28"/>
      <c r="AK1312" s="28"/>
    </row>
    <row r="1313" spans="25:37" x14ac:dyDescent="0.15">
      <c r="Y1313" s="28"/>
      <c r="Z1313" s="28"/>
      <c r="AK1313" s="28"/>
    </row>
    <row r="1314" spans="25:37" x14ac:dyDescent="0.15">
      <c r="Y1314" s="28"/>
      <c r="Z1314" s="28"/>
      <c r="AK1314" s="28"/>
    </row>
    <row r="1315" spans="25:37" x14ac:dyDescent="0.15">
      <c r="Y1315" s="28"/>
      <c r="Z1315" s="28"/>
      <c r="AK1315" s="28"/>
    </row>
    <row r="1316" spans="25:37" x14ac:dyDescent="0.15">
      <c r="Y1316" s="28"/>
      <c r="Z1316" s="28"/>
      <c r="AK1316" s="28"/>
    </row>
    <row r="1317" spans="25:37" x14ac:dyDescent="0.15">
      <c r="Y1317" s="28"/>
      <c r="Z1317" s="28"/>
      <c r="AK1317" s="28"/>
    </row>
    <row r="1318" spans="25:37" x14ac:dyDescent="0.15">
      <c r="Y1318" s="28"/>
      <c r="Z1318" s="28"/>
      <c r="AK1318" s="28"/>
    </row>
    <row r="1319" spans="25:37" x14ac:dyDescent="0.15">
      <c r="Y1319" s="28"/>
      <c r="Z1319" s="28"/>
      <c r="AK1319" s="28"/>
    </row>
    <row r="1320" spans="25:37" x14ac:dyDescent="0.15">
      <c r="Y1320" s="28"/>
      <c r="Z1320" s="28"/>
      <c r="AK1320" s="28"/>
    </row>
    <row r="1321" spans="25:37" x14ac:dyDescent="0.15">
      <c r="Y1321" s="28"/>
      <c r="Z1321" s="28"/>
      <c r="AK1321" s="28"/>
    </row>
    <row r="1322" spans="25:37" x14ac:dyDescent="0.15">
      <c r="Y1322" s="28"/>
      <c r="Z1322" s="28"/>
      <c r="AK1322" s="28"/>
    </row>
    <row r="1323" spans="25:37" x14ac:dyDescent="0.15">
      <c r="Y1323" s="28"/>
      <c r="Z1323" s="28"/>
      <c r="AK1323" s="28"/>
    </row>
    <row r="1324" spans="25:37" x14ac:dyDescent="0.15">
      <c r="Y1324" s="28"/>
      <c r="Z1324" s="28"/>
      <c r="AK1324" s="28"/>
    </row>
    <row r="1325" spans="25:37" x14ac:dyDescent="0.15">
      <c r="Y1325" s="28"/>
      <c r="Z1325" s="28"/>
      <c r="AK1325" s="28"/>
    </row>
    <row r="1326" spans="25:37" x14ac:dyDescent="0.15">
      <c r="Y1326" s="28"/>
      <c r="Z1326" s="28"/>
      <c r="AK1326" s="28"/>
    </row>
    <row r="1327" spans="25:37" x14ac:dyDescent="0.15">
      <c r="Y1327" s="28"/>
      <c r="Z1327" s="28"/>
      <c r="AK1327" s="28"/>
    </row>
    <row r="1328" spans="25:37" x14ac:dyDescent="0.15">
      <c r="Y1328" s="28"/>
      <c r="Z1328" s="28"/>
      <c r="AK1328" s="28"/>
    </row>
    <row r="1329" spans="25:37" x14ac:dyDescent="0.15">
      <c r="Y1329" s="28"/>
      <c r="Z1329" s="28"/>
      <c r="AK1329" s="28"/>
    </row>
    <row r="1330" spans="25:37" x14ac:dyDescent="0.15">
      <c r="Y1330" s="28"/>
      <c r="Z1330" s="28"/>
      <c r="AK1330" s="28"/>
    </row>
    <row r="1331" spans="25:37" x14ac:dyDescent="0.15">
      <c r="Y1331" s="28"/>
      <c r="Z1331" s="28"/>
      <c r="AK1331" s="28"/>
    </row>
    <row r="1332" spans="25:37" x14ac:dyDescent="0.15">
      <c r="Y1332" s="28"/>
      <c r="Z1332" s="28"/>
      <c r="AK1332" s="28"/>
    </row>
    <row r="1333" spans="25:37" x14ac:dyDescent="0.15">
      <c r="Y1333" s="28"/>
      <c r="Z1333" s="28"/>
      <c r="AK1333" s="28"/>
    </row>
    <row r="1334" spans="25:37" x14ac:dyDescent="0.15">
      <c r="Y1334" s="28"/>
      <c r="Z1334" s="28"/>
      <c r="AK1334" s="28"/>
    </row>
    <row r="1335" spans="25:37" x14ac:dyDescent="0.15">
      <c r="Y1335" s="28"/>
      <c r="Z1335" s="28"/>
      <c r="AK1335" s="28"/>
    </row>
    <row r="1336" spans="25:37" x14ac:dyDescent="0.15">
      <c r="Y1336" s="28"/>
      <c r="Z1336" s="28"/>
      <c r="AK1336" s="28"/>
    </row>
    <row r="1337" spans="25:37" x14ac:dyDescent="0.15">
      <c r="Y1337" s="28"/>
      <c r="Z1337" s="28"/>
      <c r="AK1337" s="28"/>
    </row>
    <row r="1338" spans="25:37" x14ac:dyDescent="0.15">
      <c r="Y1338" s="28"/>
      <c r="Z1338" s="28"/>
      <c r="AK1338" s="28"/>
    </row>
    <row r="1339" spans="25:37" x14ac:dyDescent="0.15">
      <c r="Y1339" s="28"/>
      <c r="Z1339" s="28"/>
      <c r="AK1339" s="28"/>
    </row>
    <row r="1340" spans="25:37" x14ac:dyDescent="0.15">
      <c r="Y1340" s="28"/>
      <c r="Z1340" s="28"/>
      <c r="AK1340" s="28"/>
    </row>
    <row r="1341" spans="25:37" x14ac:dyDescent="0.15">
      <c r="Y1341" s="28"/>
      <c r="Z1341" s="28"/>
      <c r="AK1341" s="28"/>
    </row>
    <row r="1342" spans="25:37" x14ac:dyDescent="0.15">
      <c r="Y1342" s="28"/>
      <c r="Z1342" s="28"/>
      <c r="AK1342" s="28"/>
    </row>
    <row r="1343" spans="25:37" x14ac:dyDescent="0.15">
      <c r="Y1343" s="28"/>
      <c r="Z1343" s="28"/>
      <c r="AK1343" s="28"/>
    </row>
    <row r="1344" spans="25:37" x14ac:dyDescent="0.15">
      <c r="Y1344" s="28"/>
      <c r="Z1344" s="28"/>
      <c r="AK1344" s="28"/>
    </row>
    <row r="1345" spans="25:37" x14ac:dyDescent="0.15">
      <c r="Y1345" s="28"/>
      <c r="Z1345" s="28"/>
      <c r="AK1345" s="28"/>
    </row>
    <row r="1346" spans="25:37" x14ac:dyDescent="0.15">
      <c r="Y1346" s="28"/>
      <c r="Z1346" s="28"/>
      <c r="AK1346" s="28"/>
    </row>
    <row r="1347" spans="25:37" x14ac:dyDescent="0.15">
      <c r="Y1347" s="28"/>
      <c r="Z1347" s="28"/>
      <c r="AK1347" s="28"/>
    </row>
    <row r="1348" spans="25:37" x14ac:dyDescent="0.15">
      <c r="Y1348" s="28"/>
      <c r="Z1348" s="28"/>
      <c r="AK1348" s="28"/>
    </row>
    <row r="1349" spans="25:37" x14ac:dyDescent="0.15">
      <c r="Y1349" s="28"/>
      <c r="Z1349" s="28"/>
      <c r="AK1349" s="28"/>
    </row>
    <row r="1350" spans="25:37" x14ac:dyDescent="0.15">
      <c r="Y1350" s="28"/>
      <c r="Z1350" s="28"/>
      <c r="AK1350" s="28"/>
    </row>
    <row r="1351" spans="25:37" x14ac:dyDescent="0.15">
      <c r="Y1351" s="28"/>
      <c r="Z1351" s="28"/>
      <c r="AK1351" s="28"/>
    </row>
    <row r="1352" spans="25:37" x14ac:dyDescent="0.15">
      <c r="Y1352" s="28"/>
      <c r="Z1352" s="28"/>
      <c r="AK1352" s="28"/>
    </row>
    <row r="1353" spans="25:37" x14ac:dyDescent="0.15">
      <c r="Y1353" s="28"/>
      <c r="Z1353" s="28"/>
      <c r="AK1353" s="28"/>
    </row>
    <row r="1354" spans="25:37" x14ac:dyDescent="0.15">
      <c r="Y1354" s="28"/>
      <c r="Z1354" s="28"/>
      <c r="AK1354" s="28"/>
    </row>
    <row r="1355" spans="25:37" x14ac:dyDescent="0.15">
      <c r="Y1355" s="28"/>
      <c r="Z1355" s="28"/>
      <c r="AK1355" s="28"/>
    </row>
    <row r="1356" spans="25:37" x14ac:dyDescent="0.15">
      <c r="Y1356" s="28"/>
      <c r="Z1356" s="28"/>
      <c r="AK1356" s="28"/>
    </row>
    <row r="1357" spans="25:37" x14ac:dyDescent="0.15">
      <c r="Y1357" s="28"/>
      <c r="Z1357" s="28"/>
      <c r="AK1357" s="28"/>
    </row>
    <row r="1358" spans="25:37" x14ac:dyDescent="0.15">
      <c r="Y1358" s="28"/>
      <c r="Z1358" s="28"/>
      <c r="AK1358" s="28"/>
    </row>
    <row r="1359" spans="25:37" x14ac:dyDescent="0.15">
      <c r="Y1359" s="28"/>
      <c r="Z1359" s="28"/>
      <c r="AK1359" s="28"/>
    </row>
    <row r="1360" spans="25:37" x14ac:dyDescent="0.15">
      <c r="Y1360" s="28"/>
      <c r="Z1360" s="28"/>
      <c r="AK1360" s="28"/>
    </row>
    <row r="1361" spans="25:37" x14ac:dyDescent="0.15">
      <c r="Y1361" s="28"/>
      <c r="Z1361" s="28"/>
      <c r="AK1361" s="28"/>
    </row>
    <row r="1362" spans="25:37" x14ac:dyDescent="0.15">
      <c r="Y1362" s="28"/>
      <c r="Z1362" s="28"/>
      <c r="AK1362" s="28"/>
    </row>
    <row r="1363" spans="25:37" x14ac:dyDescent="0.15">
      <c r="Y1363" s="28"/>
      <c r="Z1363" s="28"/>
      <c r="AK1363" s="28"/>
    </row>
    <row r="1364" spans="25:37" x14ac:dyDescent="0.15">
      <c r="Y1364" s="28"/>
      <c r="Z1364" s="28"/>
      <c r="AK1364" s="28"/>
    </row>
    <row r="1365" spans="25:37" x14ac:dyDescent="0.15">
      <c r="Y1365" s="28"/>
      <c r="Z1365" s="28"/>
      <c r="AK1365" s="28"/>
    </row>
    <row r="1366" spans="25:37" x14ac:dyDescent="0.15">
      <c r="Y1366" s="28"/>
      <c r="Z1366" s="28"/>
      <c r="AK1366" s="28"/>
    </row>
    <row r="1367" spans="25:37" x14ac:dyDescent="0.15">
      <c r="Y1367" s="28"/>
      <c r="Z1367" s="28"/>
      <c r="AK1367" s="28"/>
    </row>
    <row r="1368" spans="25:37" x14ac:dyDescent="0.15">
      <c r="Y1368" s="28"/>
      <c r="Z1368" s="28"/>
      <c r="AK1368" s="28"/>
    </row>
    <row r="1369" spans="25:37" x14ac:dyDescent="0.15">
      <c r="Y1369" s="28"/>
      <c r="Z1369" s="28"/>
      <c r="AK1369" s="28"/>
    </row>
    <row r="1370" spans="25:37" x14ac:dyDescent="0.15">
      <c r="Y1370" s="28"/>
      <c r="Z1370" s="28"/>
      <c r="AK1370" s="28"/>
    </row>
    <row r="1371" spans="25:37" x14ac:dyDescent="0.15">
      <c r="Y1371" s="28"/>
      <c r="Z1371" s="28"/>
      <c r="AK1371" s="28"/>
    </row>
    <row r="1372" spans="25:37" x14ac:dyDescent="0.15">
      <c r="Y1372" s="28"/>
      <c r="Z1372" s="28"/>
      <c r="AK1372" s="28"/>
    </row>
    <row r="1373" spans="25:37" x14ac:dyDescent="0.15">
      <c r="Y1373" s="28"/>
      <c r="Z1373" s="28"/>
      <c r="AK1373" s="28"/>
    </row>
    <row r="1374" spans="25:37" x14ac:dyDescent="0.15">
      <c r="Y1374" s="28"/>
      <c r="Z1374" s="28"/>
      <c r="AK1374" s="28"/>
    </row>
    <row r="1375" spans="25:37" x14ac:dyDescent="0.15">
      <c r="Y1375" s="28"/>
      <c r="Z1375" s="28"/>
      <c r="AK1375" s="28"/>
    </row>
    <row r="1376" spans="25:37" x14ac:dyDescent="0.15">
      <c r="Y1376" s="28"/>
      <c r="Z1376" s="28"/>
      <c r="AK1376" s="28"/>
    </row>
    <row r="1377" spans="25:37" x14ac:dyDescent="0.15">
      <c r="Y1377" s="28"/>
      <c r="Z1377" s="28"/>
      <c r="AK1377" s="28"/>
    </row>
    <row r="1378" spans="25:37" x14ac:dyDescent="0.15">
      <c r="Y1378" s="28"/>
      <c r="Z1378" s="28"/>
      <c r="AK1378" s="28"/>
    </row>
    <row r="1379" spans="25:37" x14ac:dyDescent="0.15">
      <c r="Y1379" s="28"/>
      <c r="Z1379" s="28"/>
      <c r="AK1379" s="28"/>
    </row>
    <row r="1380" spans="25:37" x14ac:dyDescent="0.15">
      <c r="Y1380" s="28"/>
      <c r="Z1380" s="28"/>
      <c r="AK1380" s="28"/>
    </row>
    <row r="1381" spans="25:37" x14ac:dyDescent="0.15">
      <c r="Y1381" s="28"/>
      <c r="Z1381" s="28"/>
      <c r="AK1381" s="28"/>
    </row>
    <row r="1382" spans="25:37" x14ac:dyDescent="0.15">
      <c r="Y1382" s="28"/>
      <c r="Z1382" s="28"/>
      <c r="AK1382" s="28"/>
    </row>
    <row r="1383" spans="25:37" x14ac:dyDescent="0.15">
      <c r="Y1383" s="28"/>
      <c r="Z1383" s="28"/>
      <c r="AK1383" s="28"/>
    </row>
    <row r="1384" spans="25:37" x14ac:dyDescent="0.15">
      <c r="Y1384" s="28"/>
      <c r="Z1384" s="28"/>
      <c r="AK1384" s="28"/>
    </row>
    <row r="1385" spans="25:37" x14ac:dyDescent="0.15">
      <c r="Y1385" s="28"/>
      <c r="Z1385" s="28"/>
      <c r="AK1385" s="28"/>
    </row>
    <row r="1386" spans="25:37" x14ac:dyDescent="0.15">
      <c r="Y1386" s="28"/>
      <c r="Z1386" s="28"/>
      <c r="AK1386" s="28"/>
    </row>
    <row r="1387" spans="25:37" x14ac:dyDescent="0.15">
      <c r="Y1387" s="28"/>
      <c r="Z1387" s="28"/>
      <c r="AK1387" s="28"/>
    </row>
    <row r="1388" spans="25:37" x14ac:dyDescent="0.15">
      <c r="Y1388" s="28"/>
      <c r="Z1388" s="28"/>
      <c r="AK1388" s="28"/>
    </row>
    <row r="1389" spans="25:37" x14ac:dyDescent="0.15">
      <c r="Y1389" s="28"/>
      <c r="Z1389" s="28"/>
      <c r="AK1389" s="28"/>
    </row>
    <row r="1390" spans="25:37" x14ac:dyDescent="0.15">
      <c r="Y1390" s="28"/>
      <c r="Z1390" s="28"/>
      <c r="AK1390" s="28"/>
    </row>
    <row r="1391" spans="25:37" x14ac:dyDescent="0.15">
      <c r="Y1391" s="28"/>
      <c r="Z1391" s="28"/>
      <c r="AK1391" s="28"/>
    </row>
    <row r="1392" spans="25:37" x14ac:dyDescent="0.15">
      <c r="Y1392" s="28"/>
      <c r="Z1392" s="28"/>
      <c r="AK1392" s="28"/>
    </row>
    <row r="1393" spans="25:37" x14ac:dyDescent="0.15">
      <c r="Y1393" s="28"/>
      <c r="Z1393" s="28"/>
      <c r="AK1393" s="28"/>
    </row>
    <row r="1394" spans="25:37" x14ac:dyDescent="0.15">
      <c r="Y1394" s="28"/>
      <c r="Z1394" s="28"/>
      <c r="AK1394" s="28"/>
    </row>
    <row r="1395" spans="25:37" x14ac:dyDescent="0.15">
      <c r="Y1395" s="28"/>
      <c r="Z1395" s="28"/>
      <c r="AK1395" s="28"/>
    </row>
    <row r="1396" spans="25:37" x14ac:dyDescent="0.15">
      <c r="Y1396" s="28"/>
      <c r="Z1396" s="28"/>
      <c r="AK1396" s="28"/>
    </row>
    <row r="1397" spans="25:37" x14ac:dyDescent="0.15">
      <c r="Y1397" s="28"/>
      <c r="Z1397" s="28"/>
      <c r="AK1397" s="28"/>
    </row>
    <row r="1398" spans="25:37" x14ac:dyDescent="0.15">
      <c r="Y1398" s="28"/>
      <c r="Z1398" s="28"/>
      <c r="AK1398" s="28"/>
    </row>
    <row r="1399" spans="25:37" x14ac:dyDescent="0.15">
      <c r="Y1399" s="28"/>
      <c r="Z1399" s="28"/>
      <c r="AK1399" s="28"/>
    </row>
    <row r="1400" spans="25:37" x14ac:dyDescent="0.15">
      <c r="Y1400" s="28"/>
      <c r="Z1400" s="28"/>
      <c r="AK1400" s="28"/>
    </row>
    <row r="1401" spans="25:37" x14ac:dyDescent="0.15">
      <c r="Y1401" s="28"/>
      <c r="Z1401" s="28"/>
      <c r="AK1401" s="28"/>
    </row>
    <row r="1402" spans="25:37" x14ac:dyDescent="0.15">
      <c r="Y1402" s="28"/>
      <c r="Z1402" s="28"/>
      <c r="AK1402" s="28"/>
    </row>
    <row r="1403" spans="25:37" x14ac:dyDescent="0.15">
      <c r="Y1403" s="28"/>
      <c r="Z1403" s="28"/>
      <c r="AK1403" s="28"/>
    </row>
    <row r="1404" spans="25:37" x14ac:dyDescent="0.15">
      <c r="Y1404" s="28"/>
      <c r="Z1404" s="28"/>
      <c r="AK1404" s="28"/>
    </row>
    <row r="1405" spans="25:37" x14ac:dyDescent="0.15">
      <c r="Y1405" s="28"/>
      <c r="Z1405" s="28"/>
      <c r="AK1405" s="28"/>
    </row>
    <row r="1406" spans="25:37" x14ac:dyDescent="0.15">
      <c r="Y1406" s="28"/>
      <c r="Z1406" s="28"/>
      <c r="AK1406" s="28"/>
    </row>
    <row r="1407" spans="25:37" x14ac:dyDescent="0.15">
      <c r="Y1407" s="28"/>
      <c r="Z1407" s="28"/>
      <c r="AK1407" s="28"/>
    </row>
    <row r="1408" spans="25:37" x14ac:dyDescent="0.15">
      <c r="Y1408" s="28"/>
      <c r="Z1408" s="28"/>
      <c r="AK1408" s="28"/>
    </row>
    <row r="1409" spans="25:37" x14ac:dyDescent="0.15">
      <c r="Y1409" s="28"/>
      <c r="Z1409" s="28"/>
      <c r="AK1409" s="28"/>
    </row>
    <row r="1410" spans="25:37" x14ac:dyDescent="0.15">
      <c r="Y1410" s="28"/>
      <c r="Z1410" s="28"/>
      <c r="AK1410" s="28"/>
    </row>
    <row r="1411" spans="25:37" x14ac:dyDescent="0.15">
      <c r="Y1411" s="28"/>
      <c r="Z1411" s="28"/>
      <c r="AK1411" s="28"/>
    </row>
    <row r="1412" spans="25:37" x14ac:dyDescent="0.15">
      <c r="Y1412" s="28"/>
      <c r="Z1412" s="28"/>
      <c r="AK1412" s="28"/>
    </row>
    <row r="1413" spans="25:37" x14ac:dyDescent="0.15">
      <c r="Y1413" s="28"/>
      <c r="Z1413" s="28"/>
      <c r="AK1413" s="28"/>
    </row>
    <row r="1414" spans="25:37" x14ac:dyDescent="0.15">
      <c r="Y1414" s="28"/>
      <c r="Z1414" s="28"/>
      <c r="AK1414" s="28"/>
    </row>
    <row r="1415" spans="25:37" x14ac:dyDescent="0.15">
      <c r="Y1415" s="28"/>
      <c r="Z1415" s="28"/>
      <c r="AK1415" s="28"/>
    </row>
    <row r="1416" spans="25:37" x14ac:dyDescent="0.15">
      <c r="Y1416" s="28"/>
      <c r="Z1416" s="28"/>
      <c r="AK1416" s="28"/>
    </row>
    <row r="1417" spans="25:37" x14ac:dyDescent="0.15">
      <c r="Y1417" s="28"/>
      <c r="Z1417" s="28"/>
      <c r="AK1417" s="28"/>
    </row>
    <row r="1418" spans="25:37" x14ac:dyDescent="0.15">
      <c r="Y1418" s="28"/>
      <c r="Z1418" s="28"/>
      <c r="AK1418" s="28"/>
    </row>
    <row r="1419" spans="25:37" x14ac:dyDescent="0.15">
      <c r="Y1419" s="28"/>
      <c r="Z1419" s="28"/>
      <c r="AK1419" s="28"/>
    </row>
    <row r="1420" spans="25:37" x14ac:dyDescent="0.15">
      <c r="Y1420" s="28"/>
      <c r="Z1420" s="28"/>
      <c r="AK1420" s="28"/>
    </row>
    <row r="1421" spans="25:37" x14ac:dyDescent="0.15">
      <c r="Y1421" s="28"/>
      <c r="Z1421" s="28"/>
      <c r="AK1421" s="28"/>
    </row>
    <row r="1422" spans="25:37" x14ac:dyDescent="0.15">
      <c r="Y1422" s="28"/>
      <c r="Z1422" s="28"/>
      <c r="AK1422" s="28"/>
    </row>
    <row r="1423" spans="25:37" x14ac:dyDescent="0.15">
      <c r="Y1423" s="28"/>
      <c r="Z1423" s="28"/>
      <c r="AK1423" s="28"/>
    </row>
    <row r="1424" spans="25:37" x14ac:dyDescent="0.15">
      <c r="Y1424" s="28"/>
      <c r="Z1424" s="28"/>
      <c r="AK1424" s="28"/>
    </row>
    <row r="1425" spans="25:37" x14ac:dyDescent="0.15">
      <c r="Y1425" s="28"/>
      <c r="Z1425" s="28"/>
      <c r="AK1425" s="28"/>
    </row>
    <row r="1426" spans="25:37" x14ac:dyDescent="0.15">
      <c r="Y1426" s="28"/>
      <c r="Z1426" s="28"/>
      <c r="AK1426" s="28"/>
    </row>
    <row r="1427" spans="25:37" x14ac:dyDescent="0.15">
      <c r="Y1427" s="28"/>
      <c r="Z1427" s="28"/>
      <c r="AK1427" s="28"/>
    </row>
    <row r="1428" spans="25:37" x14ac:dyDescent="0.15">
      <c r="Y1428" s="28"/>
      <c r="Z1428" s="28"/>
      <c r="AK1428" s="28"/>
    </row>
    <row r="1429" spans="25:37" x14ac:dyDescent="0.15">
      <c r="Y1429" s="28"/>
      <c r="Z1429" s="28"/>
      <c r="AK1429" s="28"/>
    </row>
    <row r="1430" spans="25:37" x14ac:dyDescent="0.15">
      <c r="Y1430" s="28"/>
      <c r="Z1430" s="28"/>
      <c r="AK1430" s="28"/>
    </row>
    <row r="1431" spans="25:37" x14ac:dyDescent="0.15">
      <c r="Y1431" s="28"/>
      <c r="Z1431" s="28"/>
      <c r="AK1431" s="28"/>
    </row>
    <row r="1432" spans="25:37" x14ac:dyDescent="0.15">
      <c r="Y1432" s="28"/>
      <c r="Z1432" s="28"/>
      <c r="AK1432" s="28"/>
    </row>
    <row r="1433" spans="25:37" x14ac:dyDescent="0.15">
      <c r="Y1433" s="28"/>
      <c r="Z1433" s="28"/>
      <c r="AK1433" s="28"/>
    </row>
    <row r="1434" spans="25:37" x14ac:dyDescent="0.15">
      <c r="Y1434" s="28"/>
      <c r="Z1434" s="28"/>
      <c r="AK1434" s="28"/>
    </row>
    <row r="1435" spans="25:37" x14ac:dyDescent="0.15">
      <c r="Y1435" s="28"/>
      <c r="Z1435" s="28"/>
      <c r="AK1435" s="28"/>
    </row>
    <row r="1436" spans="25:37" x14ac:dyDescent="0.15">
      <c r="Y1436" s="28"/>
      <c r="Z1436" s="28"/>
      <c r="AK1436" s="28"/>
    </row>
    <row r="1437" spans="25:37" x14ac:dyDescent="0.15">
      <c r="Y1437" s="28"/>
      <c r="Z1437" s="28"/>
      <c r="AK1437" s="28"/>
    </row>
    <row r="1438" spans="25:37" x14ac:dyDescent="0.15">
      <c r="Y1438" s="28"/>
      <c r="Z1438" s="28"/>
      <c r="AK1438" s="28"/>
    </row>
    <row r="1439" spans="25:37" x14ac:dyDescent="0.15">
      <c r="Y1439" s="28"/>
      <c r="Z1439" s="28"/>
      <c r="AK1439" s="28"/>
    </row>
    <row r="1440" spans="25:37" x14ac:dyDescent="0.15">
      <c r="Y1440" s="28"/>
      <c r="Z1440" s="28"/>
      <c r="AK1440" s="28"/>
    </row>
    <row r="1441" spans="25:37" x14ac:dyDescent="0.15">
      <c r="Y1441" s="28"/>
      <c r="Z1441" s="28"/>
      <c r="AK1441" s="28"/>
    </row>
    <row r="1442" spans="25:37" x14ac:dyDescent="0.15">
      <c r="Y1442" s="28"/>
      <c r="Z1442" s="28"/>
      <c r="AK1442" s="28"/>
    </row>
    <row r="1443" spans="25:37" x14ac:dyDescent="0.15">
      <c r="Y1443" s="28"/>
      <c r="Z1443" s="28"/>
      <c r="AK1443" s="28"/>
    </row>
    <row r="1444" spans="25:37" x14ac:dyDescent="0.15">
      <c r="Y1444" s="28"/>
      <c r="Z1444" s="28"/>
      <c r="AK1444" s="28"/>
    </row>
    <row r="1445" spans="25:37" x14ac:dyDescent="0.15">
      <c r="Y1445" s="28"/>
      <c r="Z1445" s="28"/>
      <c r="AK1445" s="28"/>
    </row>
    <row r="1446" spans="25:37" x14ac:dyDescent="0.15">
      <c r="Y1446" s="28"/>
      <c r="Z1446" s="28"/>
      <c r="AK1446" s="28"/>
    </row>
    <row r="1447" spans="25:37" x14ac:dyDescent="0.15">
      <c r="Y1447" s="28"/>
      <c r="Z1447" s="28"/>
      <c r="AK1447" s="28"/>
    </row>
    <row r="1448" spans="25:37" x14ac:dyDescent="0.15">
      <c r="Y1448" s="28"/>
      <c r="Z1448" s="28"/>
      <c r="AK1448" s="28"/>
    </row>
    <row r="1449" spans="25:37" x14ac:dyDescent="0.15">
      <c r="Y1449" s="28"/>
      <c r="Z1449" s="28"/>
      <c r="AK1449" s="28"/>
    </row>
    <row r="1450" spans="25:37" x14ac:dyDescent="0.15">
      <c r="Y1450" s="28"/>
      <c r="Z1450" s="28"/>
      <c r="AK1450" s="28"/>
    </row>
    <row r="1451" spans="25:37" x14ac:dyDescent="0.15">
      <c r="Y1451" s="28"/>
      <c r="Z1451" s="28"/>
      <c r="AK1451" s="28"/>
    </row>
    <row r="1452" spans="25:37" x14ac:dyDescent="0.15">
      <c r="Y1452" s="28"/>
      <c r="Z1452" s="28"/>
      <c r="AK1452" s="28"/>
    </row>
    <row r="1453" spans="25:37" x14ac:dyDescent="0.15">
      <c r="Y1453" s="28"/>
      <c r="Z1453" s="28"/>
      <c r="AK1453" s="28"/>
    </row>
    <row r="1454" spans="25:37" x14ac:dyDescent="0.15">
      <c r="Y1454" s="28"/>
      <c r="Z1454" s="28"/>
      <c r="AK1454" s="28"/>
    </row>
    <row r="1455" spans="25:37" x14ac:dyDescent="0.15">
      <c r="Y1455" s="28"/>
      <c r="Z1455" s="28"/>
      <c r="AK1455" s="28"/>
    </row>
    <row r="1456" spans="25:37" x14ac:dyDescent="0.15">
      <c r="Y1456" s="28"/>
      <c r="Z1456" s="28"/>
      <c r="AK1456" s="28"/>
    </row>
    <row r="1457" spans="25:37" x14ac:dyDescent="0.15">
      <c r="Y1457" s="28"/>
      <c r="Z1457" s="28"/>
      <c r="AK1457" s="28"/>
    </row>
    <row r="1458" spans="25:37" x14ac:dyDescent="0.15">
      <c r="Y1458" s="28"/>
      <c r="Z1458" s="28"/>
      <c r="AK1458" s="28"/>
    </row>
    <row r="1459" spans="25:37" x14ac:dyDescent="0.15">
      <c r="Y1459" s="28"/>
      <c r="Z1459" s="28"/>
      <c r="AK1459" s="28"/>
    </row>
    <row r="1460" spans="25:37" x14ac:dyDescent="0.15">
      <c r="Y1460" s="28"/>
      <c r="Z1460" s="28"/>
      <c r="AK1460" s="28"/>
    </row>
    <row r="1461" spans="25:37" x14ac:dyDescent="0.15">
      <c r="Y1461" s="28"/>
      <c r="Z1461" s="28"/>
      <c r="AK1461" s="28"/>
    </row>
    <row r="1462" spans="25:37" x14ac:dyDescent="0.15">
      <c r="Y1462" s="28"/>
      <c r="Z1462" s="28"/>
      <c r="AK1462" s="28"/>
    </row>
    <row r="1463" spans="25:37" x14ac:dyDescent="0.15">
      <c r="Y1463" s="28"/>
      <c r="Z1463" s="28"/>
      <c r="AK1463" s="28"/>
    </row>
    <row r="1464" spans="25:37" x14ac:dyDescent="0.15">
      <c r="Y1464" s="28"/>
      <c r="Z1464" s="28"/>
      <c r="AK1464" s="28"/>
    </row>
    <row r="1465" spans="25:37" x14ac:dyDescent="0.15">
      <c r="Y1465" s="28"/>
      <c r="Z1465" s="28"/>
      <c r="AK1465" s="28"/>
    </row>
    <row r="1466" spans="25:37" x14ac:dyDescent="0.15">
      <c r="Y1466" s="28"/>
      <c r="Z1466" s="28"/>
      <c r="AK1466" s="28"/>
    </row>
    <row r="1467" spans="25:37" x14ac:dyDescent="0.15">
      <c r="Y1467" s="28"/>
      <c r="Z1467" s="28"/>
      <c r="AK1467" s="28"/>
    </row>
    <row r="1468" spans="25:37" x14ac:dyDescent="0.15">
      <c r="Y1468" s="28"/>
      <c r="Z1468" s="28"/>
      <c r="AK1468" s="28"/>
    </row>
    <row r="1469" spans="25:37" x14ac:dyDescent="0.15">
      <c r="Y1469" s="28"/>
      <c r="Z1469" s="28"/>
      <c r="AK1469" s="28"/>
    </row>
    <row r="1470" spans="25:37" x14ac:dyDescent="0.15">
      <c r="Y1470" s="28"/>
      <c r="Z1470" s="28"/>
      <c r="AK1470" s="28"/>
    </row>
    <row r="1471" spans="25:37" x14ac:dyDescent="0.15">
      <c r="Y1471" s="28"/>
      <c r="Z1471" s="28"/>
      <c r="AK1471" s="28"/>
    </row>
    <row r="1472" spans="25:37" x14ac:dyDescent="0.15">
      <c r="Y1472" s="28"/>
      <c r="Z1472" s="28"/>
      <c r="AK1472" s="28"/>
    </row>
    <row r="1473" spans="25:37" x14ac:dyDescent="0.15">
      <c r="Y1473" s="28"/>
      <c r="Z1473" s="28"/>
      <c r="AK1473" s="28"/>
    </row>
    <row r="1474" spans="25:37" x14ac:dyDescent="0.15">
      <c r="Y1474" s="28"/>
      <c r="Z1474" s="28"/>
      <c r="AK1474" s="28"/>
    </row>
    <row r="1475" spans="25:37" x14ac:dyDescent="0.15">
      <c r="Y1475" s="28"/>
      <c r="Z1475" s="28"/>
      <c r="AK1475" s="28"/>
    </row>
    <row r="1476" spans="25:37" x14ac:dyDescent="0.15">
      <c r="Y1476" s="28"/>
      <c r="Z1476" s="28"/>
      <c r="AK1476" s="28"/>
    </row>
    <row r="1477" spans="25:37" x14ac:dyDescent="0.15">
      <c r="Y1477" s="28"/>
      <c r="Z1477" s="28"/>
      <c r="AK1477" s="28"/>
    </row>
    <row r="1478" spans="25:37" x14ac:dyDescent="0.15">
      <c r="Y1478" s="28"/>
      <c r="Z1478" s="28"/>
      <c r="AK1478" s="28"/>
    </row>
    <row r="1479" spans="25:37" x14ac:dyDescent="0.15">
      <c r="Y1479" s="28"/>
      <c r="Z1479" s="28"/>
      <c r="AK1479" s="28"/>
    </row>
    <row r="1480" spans="25:37" x14ac:dyDescent="0.15">
      <c r="Y1480" s="28"/>
      <c r="Z1480" s="28"/>
      <c r="AK1480" s="28"/>
    </row>
    <row r="1481" spans="25:37" x14ac:dyDescent="0.15">
      <c r="Y1481" s="28"/>
      <c r="Z1481" s="28"/>
      <c r="AK1481" s="28"/>
    </row>
    <row r="1482" spans="25:37" x14ac:dyDescent="0.15">
      <c r="Y1482" s="28"/>
      <c r="Z1482" s="28"/>
      <c r="AK1482" s="28"/>
    </row>
    <row r="1483" spans="25:37" x14ac:dyDescent="0.15">
      <c r="Y1483" s="28"/>
      <c r="Z1483" s="28"/>
      <c r="AK1483" s="28"/>
    </row>
    <row r="1484" spans="25:37" x14ac:dyDescent="0.15">
      <c r="Y1484" s="28"/>
      <c r="Z1484" s="28"/>
      <c r="AK1484" s="28"/>
    </row>
    <row r="1485" spans="25:37" x14ac:dyDescent="0.15">
      <c r="Y1485" s="28"/>
      <c r="Z1485" s="28"/>
      <c r="AK1485" s="28"/>
    </row>
    <row r="1486" spans="25:37" x14ac:dyDescent="0.15">
      <c r="Y1486" s="28"/>
      <c r="Z1486" s="28"/>
      <c r="AK1486" s="28"/>
    </row>
    <row r="1487" spans="25:37" x14ac:dyDescent="0.15">
      <c r="Y1487" s="28"/>
      <c r="Z1487" s="28"/>
      <c r="AK1487" s="28"/>
    </row>
    <row r="1488" spans="25:37" x14ac:dyDescent="0.15">
      <c r="Y1488" s="28"/>
      <c r="Z1488" s="28"/>
      <c r="AK1488" s="28"/>
    </row>
    <row r="1489" spans="25:37" x14ac:dyDescent="0.15">
      <c r="Y1489" s="28"/>
      <c r="Z1489" s="28"/>
      <c r="AK1489" s="28"/>
    </row>
    <row r="1490" spans="25:37" x14ac:dyDescent="0.15">
      <c r="Y1490" s="28"/>
      <c r="Z1490" s="28"/>
      <c r="AK1490" s="28"/>
    </row>
    <row r="1491" spans="25:37" x14ac:dyDescent="0.15">
      <c r="Y1491" s="28"/>
      <c r="Z1491" s="28"/>
      <c r="AK1491" s="28"/>
    </row>
    <row r="1492" spans="25:37" x14ac:dyDescent="0.15">
      <c r="Y1492" s="28"/>
      <c r="Z1492" s="28"/>
      <c r="AK1492" s="28"/>
    </row>
    <row r="1493" spans="25:37" x14ac:dyDescent="0.15">
      <c r="Y1493" s="28"/>
      <c r="Z1493" s="28"/>
      <c r="AK1493" s="28"/>
    </row>
    <row r="1494" spans="25:37" x14ac:dyDescent="0.15">
      <c r="Y1494" s="28"/>
      <c r="Z1494" s="28"/>
      <c r="AK1494" s="28"/>
    </row>
    <row r="1495" spans="25:37" x14ac:dyDescent="0.15">
      <c r="Y1495" s="28"/>
      <c r="Z1495" s="28"/>
      <c r="AK1495" s="28"/>
    </row>
    <row r="1496" spans="25:37" x14ac:dyDescent="0.15">
      <c r="Y1496" s="28"/>
      <c r="Z1496" s="28"/>
      <c r="AK1496" s="28"/>
    </row>
    <row r="1497" spans="25:37" x14ac:dyDescent="0.15">
      <c r="Y1497" s="28"/>
      <c r="Z1497" s="28"/>
      <c r="AK1497" s="28"/>
    </row>
    <row r="1498" spans="25:37" x14ac:dyDescent="0.15">
      <c r="Y1498" s="28"/>
      <c r="Z1498" s="28"/>
      <c r="AK1498" s="28"/>
    </row>
    <row r="1499" spans="25:37" x14ac:dyDescent="0.15">
      <c r="Y1499" s="28"/>
      <c r="Z1499" s="28"/>
      <c r="AK1499" s="28"/>
    </row>
    <row r="1500" spans="25:37" x14ac:dyDescent="0.15">
      <c r="Y1500" s="28"/>
      <c r="Z1500" s="28"/>
      <c r="AK1500" s="28"/>
    </row>
    <row r="1501" spans="25:37" x14ac:dyDescent="0.15">
      <c r="Y1501" s="28"/>
      <c r="Z1501" s="28"/>
      <c r="AK1501" s="28"/>
    </row>
    <row r="1502" spans="25:37" x14ac:dyDescent="0.15">
      <c r="Y1502" s="28"/>
      <c r="Z1502" s="28"/>
      <c r="AK1502" s="28"/>
    </row>
    <row r="1503" spans="25:37" x14ac:dyDescent="0.15">
      <c r="Y1503" s="28"/>
      <c r="Z1503" s="28"/>
      <c r="AK1503" s="28"/>
    </row>
    <row r="1504" spans="25:37" x14ac:dyDescent="0.15">
      <c r="Y1504" s="28"/>
      <c r="Z1504" s="28"/>
      <c r="AK1504" s="28"/>
    </row>
    <row r="1505" spans="25:37" x14ac:dyDescent="0.15">
      <c r="Y1505" s="28"/>
      <c r="Z1505" s="28"/>
      <c r="AK1505" s="28"/>
    </row>
    <row r="1506" spans="25:37" x14ac:dyDescent="0.15">
      <c r="Y1506" s="28"/>
      <c r="Z1506" s="28"/>
      <c r="AK1506" s="28"/>
    </row>
    <row r="1507" spans="25:37" x14ac:dyDescent="0.15">
      <c r="Y1507" s="28"/>
      <c r="Z1507" s="28"/>
      <c r="AK1507" s="28"/>
    </row>
    <row r="1508" spans="25:37" x14ac:dyDescent="0.15">
      <c r="Y1508" s="28"/>
      <c r="Z1508" s="28"/>
      <c r="AK1508" s="28"/>
    </row>
    <row r="1509" spans="25:37" x14ac:dyDescent="0.15">
      <c r="Y1509" s="28"/>
      <c r="Z1509" s="28"/>
      <c r="AK1509" s="28"/>
    </row>
    <row r="1510" spans="25:37" x14ac:dyDescent="0.15">
      <c r="Y1510" s="28"/>
      <c r="Z1510" s="28"/>
      <c r="AK1510" s="28"/>
    </row>
    <row r="1511" spans="25:37" x14ac:dyDescent="0.15">
      <c r="Y1511" s="28"/>
      <c r="Z1511" s="28"/>
      <c r="AK1511" s="28"/>
    </row>
    <row r="1512" spans="25:37" x14ac:dyDescent="0.15">
      <c r="Y1512" s="28"/>
      <c r="Z1512" s="28"/>
      <c r="AK1512" s="28"/>
    </row>
    <row r="1513" spans="25:37" x14ac:dyDescent="0.15">
      <c r="Y1513" s="28"/>
      <c r="Z1513" s="28"/>
      <c r="AK1513" s="28"/>
    </row>
    <row r="1514" spans="25:37" x14ac:dyDescent="0.15">
      <c r="Y1514" s="28"/>
      <c r="Z1514" s="28"/>
      <c r="AK1514" s="28"/>
    </row>
    <row r="1515" spans="25:37" x14ac:dyDescent="0.15">
      <c r="Y1515" s="28"/>
      <c r="Z1515" s="28"/>
      <c r="AK1515" s="28"/>
    </row>
    <row r="1516" spans="25:37" x14ac:dyDescent="0.15">
      <c r="Y1516" s="28"/>
      <c r="Z1516" s="28"/>
      <c r="AK1516" s="28"/>
    </row>
    <row r="1517" spans="25:37" x14ac:dyDescent="0.15">
      <c r="Y1517" s="28"/>
      <c r="Z1517" s="28"/>
      <c r="AK1517" s="28"/>
    </row>
    <row r="1518" spans="25:37" x14ac:dyDescent="0.15">
      <c r="Y1518" s="28"/>
      <c r="Z1518" s="28"/>
      <c r="AK1518" s="28"/>
    </row>
    <row r="1519" spans="25:37" x14ac:dyDescent="0.15">
      <c r="Y1519" s="28"/>
      <c r="Z1519" s="28"/>
      <c r="AK1519" s="28"/>
    </row>
    <row r="1520" spans="25:37" x14ac:dyDescent="0.15">
      <c r="Y1520" s="28"/>
      <c r="Z1520" s="28"/>
      <c r="AK1520" s="28"/>
    </row>
    <row r="1521" spans="25:37" x14ac:dyDescent="0.15">
      <c r="Y1521" s="28"/>
      <c r="Z1521" s="28"/>
      <c r="AK1521" s="28"/>
    </row>
    <row r="1522" spans="25:37" x14ac:dyDescent="0.15">
      <c r="Y1522" s="28"/>
      <c r="Z1522" s="28"/>
      <c r="AK1522" s="28"/>
    </row>
    <row r="1523" spans="25:37" x14ac:dyDescent="0.15">
      <c r="Y1523" s="28"/>
      <c r="Z1523" s="28"/>
      <c r="AK1523" s="28"/>
    </row>
    <row r="1524" spans="25:37" x14ac:dyDescent="0.15">
      <c r="Y1524" s="28"/>
      <c r="Z1524" s="28"/>
      <c r="AK1524" s="28"/>
    </row>
    <row r="1525" spans="25:37" x14ac:dyDescent="0.15">
      <c r="Y1525" s="28"/>
      <c r="Z1525" s="28"/>
      <c r="AK1525" s="28"/>
    </row>
    <row r="1526" spans="25:37" x14ac:dyDescent="0.15">
      <c r="Y1526" s="28"/>
      <c r="Z1526" s="28"/>
      <c r="AK1526" s="28"/>
    </row>
    <row r="1527" spans="25:37" x14ac:dyDescent="0.15">
      <c r="Y1527" s="28"/>
      <c r="Z1527" s="28"/>
      <c r="AK1527" s="28"/>
    </row>
    <row r="1528" spans="25:37" x14ac:dyDescent="0.15">
      <c r="Y1528" s="28"/>
      <c r="Z1528" s="28"/>
      <c r="AK1528" s="28"/>
    </row>
    <row r="1529" spans="25:37" x14ac:dyDescent="0.15">
      <c r="Y1529" s="28"/>
      <c r="Z1529" s="28"/>
      <c r="AK1529" s="28"/>
    </row>
    <row r="1530" spans="25:37" x14ac:dyDescent="0.15">
      <c r="Y1530" s="28"/>
      <c r="Z1530" s="28"/>
      <c r="AK1530" s="28"/>
    </row>
    <row r="1531" spans="25:37" x14ac:dyDescent="0.15">
      <c r="Y1531" s="28"/>
      <c r="Z1531" s="28"/>
      <c r="AK1531" s="28"/>
    </row>
    <row r="1532" spans="25:37" x14ac:dyDescent="0.15">
      <c r="Y1532" s="28"/>
      <c r="Z1532" s="28"/>
      <c r="AK1532" s="28"/>
    </row>
    <row r="1533" spans="25:37" x14ac:dyDescent="0.15">
      <c r="Y1533" s="28"/>
      <c r="Z1533" s="28"/>
      <c r="AK1533" s="28"/>
    </row>
    <row r="1534" spans="25:37" x14ac:dyDescent="0.15">
      <c r="Y1534" s="28"/>
      <c r="Z1534" s="28"/>
      <c r="AK1534" s="28"/>
    </row>
    <row r="1535" spans="25:37" x14ac:dyDescent="0.15">
      <c r="Y1535" s="28"/>
      <c r="Z1535" s="28"/>
      <c r="AK1535" s="28"/>
    </row>
    <row r="1536" spans="25:37" x14ac:dyDescent="0.15">
      <c r="Y1536" s="28"/>
      <c r="Z1536" s="28"/>
      <c r="AK1536" s="28"/>
    </row>
    <row r="1537" spans="25:37" x14ac:dyDescent="0.15">
      <c r="Y1537" s="28"/>
      <c r="Z1537" s="28"/>
      <c r="AK1537" s="28"/>
    </row>
    <row r="1538" spans="25:37" x14ac:dyDescent="0.15">
      <c r="Y1538" s="28"/>
      <c r="Z1538" s="28"/>
      <c r="AK1538" s="28"/>
    </row>
    <row r="1539" spans="25:37" x14ac:dyDescent="0.15">
      <c r="Y1539" s="28"/>
      <c r="Z1539" s="28"/>
      <c r="AK1539" s="28"/>
    </row>
    <row r="1540" spans="25:37" x14ac:dyDescent="0.15">
      <c r="Y1540" s="28"/>
      <c r="Z1540" s="28"/>
      <c r="AK1540" s="28"/>
    </row>
    <row r="1541" spans="25:37" x14ac:dyDescent="0.15">
      <c r="Y1541" s="28"/>
      <c r="Z1541" s="28"/>
      <c r="AK1541" s="28"/>
    </row>
    <row r="1542" spans="25:37" x14ac:dyDescent="0.15">
      <c r="Y1542" s="28"/>
      <c r="Z1542" s="28"/>
      <c r="AK1542" s="28"/>
    </row>
    <row r="1543" spans="25:37" x14ac:dyDescent="0.15">
      <c r="Y1543" s="28"/>
      <c r="Z1543" s="28"/>
      <c r="AK1543" s="28"/>
    </row>
    <row r="1544" spans="25:37" x14ac:dyDescent="0.15">
      <c r="Y1544" s="28"/>
      <c r="Z1544" s="28"/>
      <c r="AK1544" s="28"/>
    </row>
    <row r="1545" spans="25:37" x14ac:dyDescent="0.15">
      <c r="Y1545" s="28"/>
      <c r="Z1545" s="28"/>
      <c r="AK1545" s="28"/>
    </row>
    <row r="1546" spans="25:37" x14ac:dyDescent="0.15">
      <c r="Y1546" s="28"/>
      <c r="Z1546" s="28"/>
      <c r="AK1546" s="28"/>
    </row>
    <row r="1547" spans="25:37" x14ac:dyDescent="0.15">
      <c r="Y1547" s="28"/>
      <c r="Z1547" s="28"/>
      <c r="AK1547" s="28"/>
    </row>
    <row r="1548" spans="25:37" x14ac:dyDescent="0.15">
      <c r="Y1548" s="28"/>
      <c r="Z1548" s="28"/>
      <c r="AK1548" s="28"/>
    </row>
    <row r="1549" spans="25:37" x14ac:dyDescent="0.15">
      <c r="Y1549" s="28"/>
      <c r="Z1549" s="28"/>
      <c r="AK1549" s="28"/>
    </row>
    <row r="1550" spans="25:37" x14ac:dyDescent="0.15">
      <c r="Y1550" s="28"/>
      <c r="Z1550" s="28"/>
      <c r="AK1550" s="28"/>
    </row>
    <row r="1551" spans="25:37" x14ac:dyDescent="0.15">
      <c r="Y1551" s="28"/>
      <c r="Z1551" s="28"/>
      <c r="AK1551" s="28"/>
    </row>
    <row r="1552" spans="25:37" x14ac:dyDescent="0.15">
      <c r="Y1552" s="28"/>
      <c r="Z1552" s="28"/>
      <c r="AK1552" s="28"/>
    </row>
    <row r="1553" spans="25:37" x14ac:dyDescent="0.15">
      <c r="Y1553" s="28"/>
      <c r="Z1553" s="28"/>
      <c r="AK1553" s="28"/>
    </row>
    <row r="1554" spans="25:37" x14ac:dyDescent="0.15">
      <c r="Y1554" s="28"/>
      <c r="Z1554" s="28"/>
      <c r="AK1554" s="28"/>
    </row>
    <row r="1555" spans="25:37" x14ac:dyDescent="0.15">
      <c r="Y1555" s="28"/>
      <c r="Z1555" s="28"/>
      <c r="AK1555" s="28"/>
    </row>
    <row r="1556" spans="25:37" x14ac:dyDescent="0.15">
      <c r="Y1556" s="28"/>
      <c r="Z1556" s="28"/>
      <c r="AK1556" s="28"/>
    </row>
    <row r="1557" spans="25:37" x14ac:dyDescent="0.15">
      <c r="Y1557" s="28"/>
      <c r="Z1557" s="28"/>
      <c r="AK1557" s="28"/>
    </row>
    <row r="1558" spans="25:37" x14ac:dyDescent="0.15">
      <c r="Y1558" s="28"/>
      <c r="Z1558" s="28"/>
      <c r="AK1558" s="28"/>
    </row>
    <row r="1559" spans="25:37" x14ac:dyDescent="0.15">
      <c r="Y1559" s="28"/>
      <c r="Z1559" s="28"/>
      <c r="AK1559" s="28"/>
    </row>
    <row r="1560" spans="25:37" x14ac:dyDescent="0.15">
      <c r="Y1560" s="28"/>
      <c r="Z1560" s="28"/>
      <c r="AK1560" s="28"/>
    </row>
    <row r="1561" spans="25:37" x14ac:dyDescent="0.15">
      <c r="Y1561" s="28"/>
      <c r="Z1561" s="28"/>
      <c r="AK1561" s="28"/>
    </row>
    <row r="1562" spans="25:37" x14ac:dyDescent="0.15">
      <c r="Y1562" s="28"/>
      <c r="Z1562" s="28"/>
      <c r="AK1562" s="28"/>
    </row>
    <row r="1563" spans="25:37" x14ac:dyDescent="0.15">
      <c r="Y1563" s="28"/>
      <c r="Z1563" s="28"/>
      <c r="AK1563" s="28"/>
    </row>
    <row r="1564" spans="25:37" x14ac:dyDescent="0.15">
      <c r="Y1564" s="28"/>
      <c r="Z1564" s="28"/>
      <c r="AK1564" s="28"/>
    </row>
    <row r="1565" spans="25:37" x14ac:dyDescent="0.15">
      <c r="Y1565" s="28"/>
      <c r="Z1565" s="28"/>
      <c r="AK1565" s="28"/>
    </row>
    <row r="1566" spans="25:37" x14ac:dyDescent="0.15">
      <c r="Y1566" s="28"/>
      <c r="Z1566" s="28"/>
      <c r="AK1566" s="28"/>
    </row>
    <row r="1567" spans="25:37" x14ac:dyDescent="0.15">
      <c r="Y1567" s="28"/>
      <c r="Z1567" s="28"/>
      <c r="AK1567" s="28"/>
    </row>
    <row r="1568" spans="25:37" x14ac:dyDescent="0.15">
      <c r="Y1568" s="28"/>
      <c r="Z1568" s="28"/>
      <c r="AK1568" s="28"/>
    </row>
    <row r="1569" spans="25:37" x14ac:dyDescent="0.15">
      <c r="Y1569" s="28"/>
      <c r="Z1569" s="28"/>
      <c r="AK1569" s="28"/>
    </row>
    <row r="1570" spans="25:37" x14ac:dyDescent="0.15">
      <c r="Y1570" s="28"/>
      <c r="Z1570" s="28"/>
      <c r="AK1570" s="28"/>
    </row>
    <row r="1571" spans="25:37" x14ac:dyDescent="0.15">
      <c r="Y1571" s="28"/>
      <c r="Z1571" s="28"/>
      <c r="AK1571" s="28"/>
    </row>
    <row r="1572" spans="25:37" x14ac:dyDescent="0.15">
      <c r="Y1572" s="28"/>
      <c r="Z1572" s="28"/>
      <c r="AK1572" s="28"/>
    </row>
    <row r="1573" spans="25:37" x14ac:dyDescent="0.15">
      <c r="Y1573" s="28"/>
      <c r="Z1573" s="28"/>
      <c r="AK1573" s="28"/>
    </row>
    <row r="1574" spans="25:37" x14ac:dyDescent="0.15">
      <c r="Y1574" s="28"/>
      <c r="Z1574" s="28"/>
      <c r="AK1574" s="28"/>
    </row>
    <row r="1575" spans="25:37" x14ac:dyDescent="0.15">
      <c r="Y1575" s="28"/>
      <c r="Z1575" s="28"/>
      <c r="AK1575" s="28"/>
    </row>
    <row r="1576" spans="25:37" x14ac:dyDescent="0.15">
      <c r="Y1576" s="28"/>
      <c r="Z1576" s="28"/>
      <c r="AK1576" s="28"/>
    </row>
    <row r="1577" spans="25:37" x14ac:dyDescent="0.15">
      <c r="Y1577" s="28"/>
      <c r="Z1577" s="28"/>
      <c r="AK1577" s="28"/>
    </row>
    <row r="1578" spans="25:37" x14ac:dyDescent="0.15">
      <c r="Y1578" s="28"/>
      <c r="Z1578" s="28"/>
      <c r="AK1578" s="28"/>
    </row>
    <row r="1579" spans="25:37" x14ac:dyDescent="0.15">
      <c r="Y1579" s="28"/>
      <c r="Z1579" s="28"/>
      <c r="AK1579" s="28"/>
    </row>
    <row r="1580" spans="25:37" x14ac:dyDescent="0.15">
      <c r="Y1580" s="28"/>
      <c r="Z1580" s="28"/>
      <c r="AK1580" s="28"/>
    </row>
    <row r="1581" spans="25:37" x14ac:dyDescent="0.15">
      <c r="Y1581" s="28"/>
      <c r="Z1581" s="28"/>
      <c r="AK1581" s="28"/>
    </row>
    <row r="1582" spans="25:37" x14ac:dyDescent="0.15">
      <c r="Y1582" s="28"/>
      <c r="Z1582" s="28"/>
      <c r="AK1582" s="28"/>
    </row>
    <row r="1583" spans="25:37" x14ac:dyDescent="0.15">
      <c r="Y1583" s="28"/>
      <c r="Z1583" s="28"/>
      <c r="AK1583" s="28"/>
    </row>
    <row r="1584" spans="25:37" x14ac:dyDescent="0.15">
      <c r="Y1584" s="28"/>
      <c r="Z1584" s="28"/>
      <c r="AK1584" s="28"/>
    </row>
    <row r="1585" spans="25:37" x14ac:dyDescent="0.15">
      <c r="Y1585" s="28"/>
      <c r="Z1585" s="28"/>
      <c r="AK1585" s="28"/>
    </row>
    <row r="1586" spans="25:37" x14ac:dyDescent="0.15">
      <c r="Y1586" s="28"/>
      <c r="Z1586" s="28"/>
      <c r="AK1586" s="28"/>
    </row>
    <row r="1587" spans="25:37" x14ac:dyDescent="0.15">
      <c r="Y1587" s="28"/>
      <c r="Z1587" s="28"/>
      <c r="AK1587" s="28"/>
    </row>
    <row r="1588" spans="25:37" x14ac:dyDescent="0.15">
      <c r="Y1588" s="28"/>
      <c r="Z1588" s="28"/>
      <c r="AK1588" s="28"/>
    </row>
    <row r="1589" spans="25:37" x14ac:dyDescent="0.15">
      <c r="Y1589" s="28"/>
      <c r="Z1589" s="28"/>
      <c r="AK1589" s="28"/>
    </row>
    <row r="1590" spans="25:37" x14ac:dyDescent="0.15">
      <c r="Y1590" s="28"/>
      <c r="Z1590" s="28"/>
      <c r="AK1590" s="28"/>
    </row>
    <row r="1591" spans="25:37" x14ac:dyDescent="0.15">
      <c r="Y1591" s="28"/>
      <c r="Z1591" s="28"/>
      <c r="AK1591" s="28"/>
    </row>
    <row r="1592" spans="25:37" x14ac:dyDescent="0.15">
      <c r="Y1592" s="28"/>
      <c r="Z1592" s="28"/>
      <c r="AK1592" s="28"/>
    </row>
    <row r="1593" spans="25:37" x14ac:dyDescent="0.15">
      <c r="Y1593" s="28"/>
      <c r="Z1593" s="28"/>
      <c r="AK1593" s="28"/>
    </row>
    <row r="1594" spans="25:37" x14ac:dyDescent="0.15">
      <c r="Y1594" s="28"/>
      <c r="Z1594" s="28"/>
      <c r="AK1594" s="28"/>
    </row>
    <row r="1595" spans="25:37" x14ac:dyDescent="0.15">
      <c r="Y1595" s="28"/>
      <c r="Z1595" s="28"/>
      <c r="AK1595" s="28"/>
    </row>
    <row r="1596" spans="25:37" x14ac:dyDescent="0.15">
      <c r="Y1596" s="28"/>
      <c r="Z1596" s="28"/>
      <c r="AK1596" s="28"/>
    </row>
    <row r="1597" spans="25:37" x14ac:dyDescent="0.15">
      <c r="Y1597" s="28"/>
      <c r="Z1597" s="28"/>
      <c r="AK1597" s="28"/>
    </row>
    <row r="1598" spans="25:37" x14ac:dyDescent="0.15">
      <c r="Y1598" s="28"/>
      <c r="Z1598" s="28"/>
      <c r="AK1598" s="28"/>
    </row>
    <row r="1599" spans="25:37" x14ac:dyDescent="0.15">
      <c r="Y1599" s="28"/>
      <c r="Z1599" s="28"/>
      <c r="AK1599" s="28"/>
    </row>
    <row r="1600" spans="25:37" x14ac:dyDescent="0.15">
      <c r="Y1600" s="28"/>
      <c r="Z1600" s="28"/>
      <c r="AK1600" s="28"/>
    </row>
    <row r="1601" spans="25:37" x14ac:dyDescent="0.15">
      <c r="Y1601" s="28"/>
      <c r="Z1601" s="28"/>
      <c r="AK1601" s="28"/>
    </row>
    <row r="1602" spans="25:37" x14ac:dyDescent="0.15">
      <c r="Y1602" s="28"/>
      <c r="Z1602" s="28"/>
      <c r="AK1602" s="28"/>
    </row>
    <row r="1603" spans="25:37" x14ac:dyDescent="0.15">
      <c r="Y1603" s="28"/>
      <c r="Z1603" s="28"/>
      <c r="AK1603" s="28"/>
    </row>
    <row r="1604" spans="25:37" x14ac:dyDescent="0.15">
      <c r="Y1604" s="28"/>
      <c r="Z1604" s="28"/>
      <c r="AK1604" s="28"/>
    </row>
    <row r="1605" spans="25:37" x14ac:dyDescent="0.15">
      <c r="Y1605" s="28"/>
      <c r="Z1605" s="28"/>
      <c r="AK1605" s="28"/>
    </row>
    <row r="1606" spans="25:37" x14ac:dyDescent="0.15">
      <c r="Y1606" s="28"/>
      <c r="Z1606" s="28"/>
      <c r="AK1606" s="28"/>
    </row>
    <row r="1607" spans="25:37" x14ac:dyDescent="0.15">
      <c r="Y1607" s="28"/>
      <c r="Z1607" s="28"/>
      <c r="AK1607" s="28"/>
    </row>
    <row r="1608" spans="25:37" x14ac:dyDescent="0.15">
      <c r="Y1608" s="28"/>
      <c r="Z1608" s="28"/>
      <c r="AK1608" s="28"/>
    </row>
    <row r="1609" spans="25:37" x14ac:dyDescent="0.15">
      <c r="Y1609" s="28"/>
      <c r="Z1609" s="28"/>
      <c r="AK1609" s="28"/>
    </row>
    <row r="1610" spans="25:37" x14ac:dyDescent="0.15">
      <c r="Y1610" s="28"/>
      <c r="Z1610" s="28"/>
      <c r="AK1610" s="28"/>
    </row>
    <row r="1611" spans="25:37" x14ac:dyDescent="0.15">
      <c r="Y1611" s="28"/>
      <c r="Z1611" s="28"/>
      <c r="AK1611" s="28"/>
    </row>
    <row r="1612" spans="25:37" x14ac:dyDescent="0.15">
      <c r="Y1612" s="28"/>
      <c r="Z1612" s="28"/>
      <c r="AK1612" s="28"/>
    </row>
    <row r="1613" spans="25:37" x14ac:dyDescent="0.15">
      <c r="Y1613" s="28"/>
      <c r="Z1613" s="28"/>
      <c r="AK1613" s="28"/>
    </row>
    <row r="1614" spans="25:37" x14ac:dyDescent="0.15">
      <c r="Y1614" s="28"/>
      <c r="Z1614" s="28"/>
      <c r="AK1614" s="28"/>
    </row>
    <row r="1615" spans="25:37" x14ac:dyDescent="0.15">
      <c r="Y1615" s="28"/>
      <c r="Z1615" s="28"/>
      <c r="AK1615" s="28"/>
    </row>
    <row r="1616" spans="25:37" x14ac:dyDescent="0.15">
      <c r="Y1616" s="28"/>
      <c r="Z1616" s="28"/>
      <c r="AK1616" s="28"/>
    </row>
    <row r="1617" spans="25:37" x14ac:dyDescent="0.15">
      <c r="Y1617" s="28"/>
      <c r="Z1617" s="28"/>
      <c r="AK1617" s="28"/>
    </row>
    <row r="1618" spans="25:37" x14ac:dyDescent="0.15">
      <c r="Y1618" s="28"/>
      <c r="Z1618" s="28"/>
      <c r="AK1618" s="28"/>
    </row>
    <row r="1619" spans="25:37" x14ac:dyDescent="0.15">
      <c r="Y1619" s="28"/>
      <c r="Z1619" s="28"/>
      <c r="AK1619" s="28"/>
    </row>
    <row r="1620" spans="25:37" x14ac:dyDescent="0.15">
      <c r="Y1620" s="28"/>
      <c r="Z1620" s="28"/>
      <c r="AK1620" s="28"/>
    </row>
    <row r="1621" spans="25:37" x14ac:dyDescent="0.15">
      <c r="Y1621" s="28"/>
      <c r="Z1621" s="28"/>
      <c r="AK1621" s="28"/>
    </row>
    <row r="1622" spans="25:37" x14ac:dyDescent="0.15">
      <c r="Y1622" s="28"/>
      <c r="Z1622" s="28"/>
      <c r="AK1622" s="28"/>
    </row>
    <row r="1623" spans="25:37" x14ac:dyDescent="0.15">
      <c r="Y1623" s="28"/>
      <c r="Z1623" s="28"/>
      <c r="AK1623" s="28"/>
    </row>
    <row r="1624" spans="25:37" x14ac:dyDescent="0.15">
      <c r="Y1624" s="28"/>
      <c r="Z1624" s="28"/>
      <c r="AK1624" s="28"/>
    </row>
    <row r="1625" spans="25:37" x14ac:dyDescent="0.15">
      <c r="Y1625" s="28"/>
      <c r="Z1625" s="28"/>
      <c r="AK1625" s="28"/>
    </row>
    <row r="1626" spans="25:37" x14ac:dyDescent="0.15">
      <c r="Y1626" s="28"/>
      <c r="Z1626" s="28"/>
      <c r="AK1626" s="28"/>
    </row>
    <row r="1627" spans="25:37" x14ac:dyDescent="0.15">
      <c r="Y1627" s="28"/>
      <c r="Z1627" s="28"/>
      <c r="AK1627" s="28"/>
    </row>
    <row r="1628" spans="25:37" x14ac:dyDescent="0.15">
      <c r="Y1628" s="28"/>
      <c r="Z1628" s="28"/>
      <c r="AK1628" s="28"/>
    </row>
    <row r="1629" spans="25:37" x14ac:dyDescent="0.15">
      <c r="Y1629" s="28"/>
      <c r="Z1629" s="28"/>
      <c r="AK1629" s="28"/>
    </row>
    <row r="1630" spans="25:37" x14ac:dyDescent="0.15">
      <c r="Y1630" s="28"/>
      <c r="Z1630" s="28"/>
      <c r="AK1630" s="28"/>
    </row>
    <row r="1631" spans="25:37" x14ac:dyDescent="0.15">
      <c r="Y1631" s="28"/>
      <c r="Z1631" s="28"/>
      <c r="AK1631" s="28"/>
    </row>
    <row r="1632" spans="25:37" x14ac:dyDescent="0.15">
      <c r="Y1632" s="28"/>
      <c r="Z1632" s="28"/>
      <c r="AK1632" s="28"/>
    </row>
    <row r="1633" spans="25:37" x14ac:dyDescent="0.15">
      <c r="Y1633" s="28"/>
      <c r="Z1633" s="28"/>
      <c r="AK1633" s="28"/>
    </row>
    <row r="1634" spans="25:37" x14ac:dyDescent="0.15">
      <c r="Y1634" s="28"/>
      <c r="Z1634" s="28"/>
      <c r="AK1634" s="28"/>
    </row>
    <row r="1635" spans="25:37" x14ac:dyDescent="0.15">
      <c r="Y1635" s="28"/>
      <c r="Z1635" s="28"/>
      <c r="AK1635" s="28"/>
    </row>
    <row r="1636" spans="25:37" x14ac:dyDescent="0.15">
      <c r="Y1636" s="28"/>
      <c r="Z1636" s="28"/>
      <c r="AK1636" s="28"/>
    </row>
    <row r="1637" spans="25:37" x14ac:dyDescent="0.15">
      <c r="Y1637" s="28"/>
      <c r="Z1637" s="28"/>
      <c r="AK1637" s="28"/>
    </row>
    <row r="1638" spans="25:37" x14ac:dyDescent="0.15">
      <c r="Y1638" s="28"/>
      <c r="Z1638" s="28"/>
      <c r="AK1638" s="28"/>
    </row>
    <row r="1639" spans="25:37" x14ac:dyDescent="0.15">
      <c r="Y1639" s="28"/>
      <c r="Z1639" s="28"/>
      <c r="AK1639" s="28"/>
    </row>
    <row r="1640" spans="25:37" x14ac:dyDescent="0.15">
      <c r="Y1640" s="28"/>
      <c r="Z1640" s="28"/>
      <c r="AK1640" s="28"/>
    </row>
    <row r="1641" spans="25:37" x14ac:dyDescent="0.15">
      <c r="Y1641" s="28"/>
      <c r="Z1641" s="28"/>
      <c r="AK1641" s="28"/>
    </row>
    <row r="1642" spans="25:37" x14ac:dyDescent="0.15">
      <c r="Y1642" s="28"/>
      <c r="Z1642" s="28"/>
      <c r="AK1642" s="28"/>
    </row>
    <row r="1643" spans="25:37" x14ac:dyDescent="0.15">
      <c r="Y1643" s="28"/>
      <c r="Z1643" s="28"/>
      <c r="AK1643" s="28"/>
    </row>
    <row r="1644" spans="25:37" x14ac:dyDescent="0.15">
      <c r="Y1644" s="28"/>
      <c r="Z1644" s="28"/>
      <c r="AK1644" s="28"/>
    </row>
    <row r="1645" spans="25:37" x14ac:dyDescent="0.15">
      <c r="Y1645" s="28"/>
      <c r="Z1645" s="28"/>
      <c r="AK1645" s="28"/>
    </row>
    <row r="1646" spans="25:37" x14ac:dyDescent="0.15">
      <c r="Y1646" s="28"/>
      <c r="Z1646" s="28"/>
      <c r="AK1646" s="28"/>
    </row>
    <row r="1647" spans="25:37" x14ac:dyDescent="0.15">
      <c r="Y1647" s="28"/>
      <c r="Z1647" s="28"/>
      <c r="AK1647" s="28"/>
    </row>
    <row r="1648" spans="25:37" x14ac:dyDescent="0.15">
      <c r="Y1648" s="28"/>
      <c r="Z1648" s="28"/>
      <c r="AK1648" s="28"/>
    </row>
    <row r="1649" spans="25:37" x14ac:dyDescent="0.15">
      <c r="Y1649" s="28"/>
      <c r="Z1649" s="28"/>
      <c r="AK1649" s="28"/>
    </row>
    <row r="1650" spans="25:37" x14ac:dyDescent="0.15">
      <c r="Y1650" s="28"/>
      <c r="Z1650" s="28"/>
      <c r="AK1650" s="28"/>
    </row>
    <row r="1651" spans="25:37" x14ac:dyDescent="0.15">
      <c r="Y1651" s="28"/>
      <c r="Z1651" s="28"/>
      <c r="AK1651" s="28"/>
    </row>
    <row r="1652" spans="25:37" x14ac:dyDescent="0.15">
      <c r="Y1652" s="28"/>
      <c r="Z1652" s="28"/>
      <c r="AK1652" s="28"/>
    </row>
    <row r="1653" spans="25:37" x14ac:dyDescent="0.15">
      <c r="Y1653" s="28"/>
      <c r="Z1653" s="28"/>
      <c r="AK1653" s="28"/>
    </row>
    <row r="1654" spans="25:37" x14ac:dyDescent="0.15">
      <c r="Y1654" s="28"/>
      <c r="Z1654" s="28"/>
      <c r="AK1654" s="28"/>
    </row>
    <row r="1655" spans="25:37" x14ac:dyDescent="0.15">
      <c r="Y1655" s="28"/>
      <c r="Z1655" s="28"/>
      <c r="AK1655" s="28"/>
    </row>
    <row r="1656" spans="25:37" x14ac:dyDescent="0.15">
      <c r="Y1656" s="28"/>
      <c r="Z1656" s="28"/>
      <c r="AK1656" s="28"/>
    </row>
    <row r="1657" spans="25:37" x14ac:dyDescent="0.15">
      <c r="Y1657" s="28"/>
      <c r="Z1657" s="28"/>
      <c r="AK1657" s="28"/>
    </row>
    <row r="1658" spans="25:37" x14ac:dyDescent="0.15">
      <c r="Y1658" s="28"/>
      <c r="Z1658" s="28"/>
      <c r="AK1658" s="28"/>
    </row>
    <row r="1659" spans="25:37" x14ac:dyDescent="0.15">
      <c r="Y1659" s="28"/>
      <c r="Z1659" s="28"/>
      <c r="AK1659" s="28"/>
    </row>
    <row r="1660" spans="25:37" x14ac:dyDescent="0.15">
      <c r="Y1660" s="28"/>
      <c r="Z1660" s="28"/>
      <c r="AK1660" s="28"/>
    </row>
    <row r="1661" spans="25:37" x14ac:dyDescent="0.15">
      <c r="Y1661" s="28"/>
      <c r="Z1661" s="28"/>
      <c r="AK1661" s="28"/>
    </row>
    <row r="1662" spans="25:37" x14ac:dyDescent="0.15">
      <c r="Y1662" s="28"/>
      <c r="Z1662" s="28"/>
      <c r="AK1662" s="28"/>
    </row>
    <row r="1663" spans="25:37" x14ac:dyDescent="0.15">
      <c r="Y1663" s="28"/>
      <c r="Z1663" s="28"/>
      <c r="AK1663" s="28"/>
    </row>
    <row r="1664" spans="25:37" x14ac:dyDescent="0.15">
      <c r="Y1664" s="28"/>
      <c r="Z1664" s="28"/>
      <c r="AK1664" s="28"/>
    </row>
    <row r="1665" spans="25:37" x14ac:dyDescent="0.15">
      <c r="Y1665" s="28"/>
      <c r="Z1665" s="28"/>
      <c r="AK1665" s="28"/>
    </row>
    <row r="1666" spans="25:37" x14ac:dyDescent="0.15">
      <c r="Y1666" s="28"/>
      <c r="Z1666" s="28"/>
      <c r="AK1666" s="28"/>
    </row>
    <row r="1667" spans="25:37" x14ac:dyDescent="0.15">
      <c r="Y1667" s="28"/>
      <c r="Z1667" s="28"/>
      <c r="AK1667" s="28"/>
    </row>
    <row r="1668" spans="25:37" x14ac:dyDescent="0.15">
      <c r="Y1668" s="28"/>
      <c r="Z1668" s="28"/>
      <c r="AK1668" s="28"/>
    </row>
    <row r="1669" spans="25:37" x14ac:dyDescent="0.15">
      <c r="Y1669" s="28"/>
      <c r="Z1669" s="28"/>
      <c r="AK1669" s="28"/>
    </row>
    <row r="1670" spans="25:37" x14ac:dyDescent="0.15">
      <c r="Y1670" s="28"/>
      <c r="Z1670" s="28"/>
      <c r="AK1670" s="28"/>
    </row>
    <row r="1671" spans="25:37" x14ac:dyDescent="0.15">
      <c r="Y1671" s="28"/>
      <c r="Z1671" s="28"/>
      <c r="AK1671" s="28"/>
    </row>
    <row r="1672" spans="25:37" x14ac:dyDescent="0.15">
      <c r="Y1672" s="28"/>
      <c r="Z1672" s="28"/>
      <c r="AK1672" s="28"/>
    </row>
    <row r="1673" spans="25:37" x14ac:dyDescent="0.15">
      <c r="Y1673" s="28"/>
      <c r="Z1673" s="28"/>
      <c r="AK1673" s="28"/>
    </row>
    <row r="1674" spans="25:37" x14ac:dyDescent="0.15">
      <c r="Y1674" s="28"/>
      <c r="Z1674" s="28"/>
      <c r="AK1674" s="28"/>
    </row>
    <row r="1675" spans="25:37" x14ac:dyDescent="0.15">
      <c r="Y1675" s="28"/>
      <c r="Z1675" s="28"/>
      <c r="AK1675" s="28"/>
    </row>
    <row r="1676" spans="25:37" x14ac:dyDescent="0.15">
      <c r="Y1676" s="28"/>
      <c r="Z1676" s="28"/>
      <c r="AK1676" s="28"/>
    </row>
    <row r="1677" spans="25:37" x14ac:dyDescent="0.15">
      <c r="Y1677" s="28"/>
      <c r="Z1677" s="28"/>
      <c r="AK1677" s="28"/>
    </row>
    <row r="1678" spans="25:37" x14ac:dyDescent="0.15">
      <c r="Y1678" s="28"/>
      <c r="Z1678" s="28"/>
      <c r="AK1678" s="28"/>
    </row>
    <row r="1679" spans="25:37" x14ac:dyDescent="0.15">
      <c r="Y1679" s="28"/>
      <c r="Z1679" s="28"/>
      <c r="AK1679" s="28"/>
    </row>
    <row r="1680" spans="25:37" x14ac:dyDescent="0.15">
      <c r="Y1680" s="28"/>
      <c r="Z1680" s="28"/>
      <c r="AK1680" s="28"/>
    </row>
    <row r="1681" spans="25:37" x14ac:dyDescent="0.15">
      <c r="Y1681" s="28"/>
      <c r="Z1681" s="28"/>
      <c r="AK1681" s="28"/>
    </row>
    <row r="1682" spans="25:37" x14ac:dyDescent="0.15">
      <c r="Y1682" s="28"/>
      <c r="Z1682" s="28"/>
      <c r="AK1682" s="28"/>
    </row>
    <row r="1683" spans="25:37" x14ac:dyDescent="0.15">
      <c r="Y1683" s="28"/>
      <c r="Z1683" s="28"/>
      <c r="AK1683" s="28"/>
    </row>
    <row r="1684" spans="25:37" x14ac:dyDescent="0.15">
      <c r="Y1684" s="28"/>
      <c r="Z1684" s="28"/>
      <c r="AK1684" s="28"/>
    </row>
    <row r="1685" spans="25:37" x14ac:dyDescent="0.15">
      <c r="Y1685" s="28"/>
      <c r="Z1685" s="28"/>
      <c r="AK1685" s="28"/>
    </row>
    <row r="1686" spans="25:37" x14ac:dyDescent="0.15">
      <c r="Y1686" s="28"/>
      <c r="Z1686" s="28"/>
      <c r="AK1686" s="28"/>
    </row>
    <row r="1687" spans="25:37" x14ac:dyDescent="0.15">
      <c r="Y1687" s="28"/>
      <c r="Z1687" s="28"/>
      <c r="AK1687" s="28"/>
    </row>
    <row r="1688" spans="25:37" x14ac:dyDescent="0.15">
      <c r="Y1688" s="28"/>
      <c r="Z1688" s="28"/>
      <c r="AK1688" s="28"/>
    </row>
    <row r="1689" spans="25:37" x14ac:dyDescent="0.15">
      <c r="Y1689" s="28"/>
      <c r="Z1689" s="28"/>
      <c r="AK1689" s="28"/>
    </row>
    <row r="1690" spans="25:37" x14ac:dyDescent="0.15">
      <c r="Y1690" s="28"/>
      <c r="Z1690" s="28"/>
      <c r="AK1690" s="28"/>
    </row>
    <row r="1691" spans="25:37" x14ac:dyDescent="0.15">
      <c r="Y1691" s="28"/>
      <c r="Z1691" s="28"/>
      <c r="AK1691" s="28"/>
    </row>
    <row r="1692" spans="25:37" x14ac:dyDescent="0.15">
      <c r="Y1692" s="28"/>
      <c r="Z1692" s="28"/>
      <c r="AK1692" s="28"/>
    </row>
    <row r="1693" spans="25:37" x14ac:dyDescent="0.15">
      <c r="Y1693" s="28"/>
      <c r="Z1693" s="28"/>
      <c r="AK1693" s="28"/>
    </row>
    <row r="1694" spans="25:37" x14ac:dyDescent="0.15">
      <c r="Y1694" s="28"/>
      <c r="Z1694" s="28"/>
      <c r="AK1694" s="28"/>
    </row>
    <row r="1695" spans="25:37" x14ac:dyDescent="0.15">
      <c r="Y1695" s="28"/>
      <c r="Z1695" s="28"/>
      <c r="AK1695" s="28"/>
    </row>
    <row r="1696" spans="25:37" x14ac:dyDescent="0.15">
      <c r="Y1696" s="28"/>
      <c r="Z1696" s="28"/>
      <c r="AK1696" s="28"/>
    </row>
    <row r="1697" spans="25:37" x14ac:dyDescent="0.15">
      <c r="Y1697" s="28"/>
      <c r="Z1697" s="28"/>
      <c r="AK1697" s="28"/>
    </row>
    <row r="1698" spans="25:37" x14ac:dyDescent="0.15">
      <c r="Y1698" s="28"/>
      <c r="Z1698" s="28"/>
      <c r="AK1698" s="28"/>
    </row>
    <row r="1699" spans="25:37" x14ac:dyDescent="0.15">
      <c r="Y1699" s="28"/>
      <c r="Z1699" s="28"/>
      <c r="AK1699" s="28"/>
    </row>
    <row r="1700" spans="25:37" x14ac:dyDescent="0.15">
      <c r="Y1700" s="28"/>
      <c r="Z1700" s="28"/>
      <c r="AK1700" s="28"/>
    </row>
    <row r="1701" spans="25:37" x14ac:dyDescent="0.15">
      <c r="Y1701" s="28"/>
      <c r="Z1701" s="28"/>
      <c r="AK1701" s="28"/>
    </row>
    <row r="1702" spans="25:37" x14ac:dyDescent="0.15">
      <c r="Y1702" s="28"/>
      <c r="Z1702" s="28"/>
      <c r="AK1702" s="28"/>
    </row>
    <row r="1703" spans="25:37" x14ac:dyDescent="0.15">
      <c r="Y1703" s="28"/>
      <c r="Z1703" s="28"/>
      <c r="AK1703" s="28"/>
    </row>
    <row r="1704" spans="25:37" x14ac:dyDescent="0.15">
      <c r="Y1704" s="28"/>
      <c r="Z1704" s="28"/>
      <c r="AK1704" s="28"/>
    </row>
    <row r="1705" spans="25:37" x14ac:dyDescent="0.15">
      <c r="Y1705" s="28"/>
      <c r="Z1705" s="28"/>
      <c r="AK1705" s="28"/>
    </row>
    <row r="1706" spans="25:37" x14ac:dyDescent="0.15">
      <c r="Y1706" s="28"/>
      <c r="Z1706" s="28"/>
      <c r="AK1706" s="28"/>
    </row>
    <row r="1707" spans="25:37" x14ac:dyDescent="0.15">
      <c r="Y1707" s="28"/>
      <c r="Z1707" s="28"/>
      <c r="AK1707" s="28"/>
    </row>
    <row r="1708" spans="25:37" x14ac:dyDescent="0.15">
      <c r="Y1708" s="28"/>
      <c r="Z1708" s="28"/>
      <c r="AK1708" s="28"/>
    </row>
    <row r="1709" spans="25:37" x14ac:dyDescent="0.15">
      <c r="Y1709" s="28"/>
      <c r="Z1709" s="28"/>
      <c r="AK1709" s="28"/>
    </row>
    <row r="1710" spans="25:37" x14ac:dyDescent="0.15">
      <c r="Y1710" s="28"/>
      <c r="Z1710" s="28"/>
      <c r="AK1710" s="28"/>
    </row>
    <row r="1711" spans="25:37" x14ac:dyDescent="0.15">
      <c r="Y1711" s="28"/>
      <c r="Z1711" s="28"/>
      <c r="AK1711" s="28"/>
    </row>
    <row r="1712" spans="25:37" x14ac:dyDescent="0.15">
      <c r="Y1712" s="28"/>
      <c r="Z1712" s="28"/>
      <c r="AK1712" s="28"/>
    </row>
    <row r="1713" spans="25:37" x14ac:dyDescent="0.15">
      <c r="Y1713" s="28"/>
      <c r="Z1713" s="28"/>
      <c r="AK1713" s="28"/>
    </row>
    <row r="1714" spans="25:37" x14ac:dyDescent="0.15">
      <c r="Y1714" s="28"/>
      <c r="Z1714" s="28"/>
      <c r="AK1714" s="28"/>
    </row>
    <row r="1715" spans="25:37" x14ac:dyDescent="0.15">
      <c r="Y1715" s="28"/>
      <c r="Z1715" s="28"/>
      <c r="AK1715" s="28"/>
    </row>
    <row r="1716" spans="25:37" x14ac:dyDescent="0.15">
      <c r="Y1716" s="28"/>
      <c r="Z1716" s="28"/>
      <c r="AK1716" s="28"/>
    </row>
    <row r="1717" spans="25:37" x14ac:dyDescent="0.15">
      <c r="Y1717" s="28"/>
      <c r="Z1717" s="28"/>
      <c r="AK1717" s="28"/>
    </row>
    <row r="1718" spans="25:37" x14ac:dyDescent="0.15">
      <c r="Y1718" s="28"/>
      <c r="Z1718" s="28"/>
      <c r="AK1718" s="28"/>
    </row>
    <row r="1719" spans="25:37" x14ac:dyDescent="0.15">
      <c r="Y1719" s="28"/>
      <c r="Z1719" s="28"/>
      <c r="AK1719" s="28"/>
    </row>
    <row r="1720" spans="25:37" x14ac:dyDescent="0.15">
      <c r="Y1720" s="28"/>
      <c r="Z1720" s="28"/>
      <c r="AK1720" s="28"/>
    </row>
    <row r="1721" spans="25:37" x14ac:dyDescent="0.15">
      <c r="Y1721" s="28"/>
      <c r="Z1721" s="28"/>
      <c r="AK1721" s="28"/>
    </row>
    <row r="1722" spans="25:37" x14ac:dyDescent="0.15">
      <c r="Y1722" s="28"/>
      <c r="Z1722" s="28"/>
      <c r="AK1722" s="28"/>
    </row>
    <row r="1723" spans="25:37" x14ac:dyDescent="0.15">
      <c r="Y1723" s="28"/>
      <c r="Z1723" s="28"/>
      <c r="AK1723" s="28"/>
    </row>
    <row r="1724" spans="25:37" x14ac:dyDescent="0.15">
      <c r="Y1724" s="28"/>
      <c r="Z1724" s="28"/>
      <c r="AK1724" s="28"/>
    </row>
    <row r="1725" spans="25:37" x14ac:dyDescent="0.15">
      <c r="Y1725" s="28"/>
      <c r="Z1725" s="28"/>
      <c r="AK1725" s="28"/>
    </row>
    <row r="1726" spans="25:37" x14ac:dyDescent="0.15">
      <c r="Y1726" s="28"/>
      <c r="Z1726" s="28"/>
      <c r="AK1726" s="28"/>
    </row>
    <row r="1727" spans="25:37" x14ac:dyDescent="0.15">
      <c r="Y1727" s="28"/>
      <c r="Z1727" s="28"/>
      <c r="AK1727" s="28"/>
    </row>
    <row r="1728" spans="25:37" x14ac:dyDescent="0.15">
      <c r="Y1728" s="28"/>
      <c r="Z1728" s="28"/>
      <c r="AK1728" s="28"/>
    </row>
    <row r="1729" spans="25:37" x14ac:dyDescent="0.15">
      <c r="Y1729" s="28"/>
      <c r="Z1729" s="28"/>
      <c r="AK1729" s="28"/>
    </row>
    <row r="1730" spans="25:37" x14ac:dyDescent="0.15">
      <c r="Y1730" s="28"/>
      <c r="Z1730" s="28"/>
      <c r="AK1730" s="28"/>
    </row>
    <row r="1731" spans="25:37" x14ac:dyDescent="0.15">
      <c r="Y1731" s="28"/>
      <c r="Z1731" s="28"/>
      <c r="AK1731" s="28"/>
    </row>
    <row r="1732" spans="25:37" x14ac:dyDescent="0.15">
      <c r="Y1732" s="28"/>
      <c r="Z1732" s="28"/>
      <c r="AK1732" s="28"/>
    </row>
    <row r="1733" spans="25:37" x14ac:dyDescent="0.15">
      <c r="Y1733" s="28"/>
      <c r="Z1733" s="28"/>
      <c r="AK1733" s="28"/>
    </row>
    <row r="1734" spans="25:37" x14ac:dyDescent="0.15">
      <c r="Y1734" s="28"/>
      <c r="Z1734" s="28"/>
      <c r="AK1734" s="28"/>
    </row>
    <row r="1735" spans="25:37" x14ac:dyDescent="0.15">
      <c r="Y1735" s="28"/>
      <c r="Z1735" s="28"/>
      <c r="AK1735" s="28"/>
    </row>
    <row r="1736" spans="25:37" x14ac:dyDescent="0.15">
      <c r="Y1736" s="28"/>
      <c r="Z1736" s="28"/>
      <c r="AK1736" s="28"/>
    </row>
    <row r="1737" spans="25:37" x14ac:dyDescent="0.15">
      <c r="Y1737" s="28"/>
      <c r="Z1737" s="28"/>
      <c r="AK1737" s="28"/>
    </row>
    <row r="1738" spans="25:37" x14ac:dyDescent="0.15">
      <c r="Y1738" s="28"/>
      <c r="Z1738" s="28"/>
      <c r="AK1738" s="28"/>
    </row>
    <row r="1739" spans="25:37" x14ac:dyDescent="0.15">
      <c r="Y1739" s="28"/>
      <c r="Z1739" s="28"/>
      <c r="AK1739" s="28"/>
    </row>
    <row r="1740" spans="25:37" x14ac:dyDescent="0.15">
      <c r="Y1740" s="28"/>
      <c r="Z1740" s="28"/>
      <c r="AK1740" s="28"/>
    </row>
    <row r="1741" spans="25:37" x14ac:dyDescent="0.15">
      <c r="Y1741" s="28"/>
      <c r="Z1741" s="28"/>
      <c r="AK1741" s="28"/>
    </row>
    <row r="1742" spans="25:37" x14ac:dyDescent="0.15">
      <c r="Y1742" s="28"/>
      <c r="Z1742" s="28"/>
      <c r="AK1742" s="28"/>
    </row>
    <row r="1743" spans="25:37" x14ac:dyDescent="0.15">
      <c r="Y1743" s="28"/>
      <c r="Z1743" s="28"/>
      <c r="AK1743" s="28"/>
    </row>
    <row r="1744" spans="25:37" x14ac:dyDescent="0.15">
      <c r="Y1744" s="28"/>
      <c r="Z1744" s="28"/>
      <c r="AK1744" s="28"/>
    </row>
    <row r="1745" spans="25:37" x14ac:dyDescent="0.15">
      <c r="Y1745" s="28"/>
      <c r="Z1745" s="28"/>
      <c r="AK1745" s="28"/>
    </row>
    <row r="1746" spans="25:37" x14ac:dyDescent="0.15">
      <c r="Y1746" s="28"/>
      <c r="Z1746" s="28"/>
      <c r="AK1746" s="28"/>
    </row>
    <row r="1747" spans="25:37" x14ac:dyDescent="0.15">
      <c r="Y1747" s="28"/>
      <c r="Z1747" s="28"/>
      <c r="AK1747" s="28"/>
    </row>
    <row r="1748" spans="25:37" x14ac:dyDescent="0.15">
      <c r="Y1748" s="28"/>
      <c r="Z1748" s="28"/>
      <c r="AK1748" s="28"/>
    </row>
    <row r="1749" spans="25:37" x14ac:dyDescent="0.15">
      <c r="Y1749" s="28"/>
      <c r="Z1749" s="28"/>
      <c r="AK1749" s="28"/>
    </row>
    <row r="1750" spans="25:37" x14ac:dyDescent="0.15">
      <c r="Y1750" s="28"/>
      <c r="Z1750" s="28"/>
      <c r="AK1750" s="28"/>
    </row>
    <row r="1751" spans="25:37" x14ac:dyDescent="0.15">
      <c r="Y1751" s="28"/>
      <c r="Z1751" s="28"/>
      <c r="AK1751" s="28"/>
    </row>
    <row r="1752" spans="25:37" x14ac:dyDescent="0.15">
      <c r="Y1752" s="28"/>
      <c r="Z1752" s="28"/>
      <c r="AK1752" s="28"/>
    </row>
    <row r="1753" spans="25:37" x14ac:dyDescent="0.15">
      <c r="Y1753" s="28"/>
      <c r="Z1753" s="28"/>
      <c r="AK1753" s="28"/>
    </row>
    <row r="1754" spans="25:37" x14ac:dyDescent="0.15">
      <c r="Y1754" s="28"/>
      <c r="Z1754" s="28"/>
      <c r="AK1754" s="28"/>
    </row>
    <row r="1755" spans="25:37" x14ac:dyDescent="0.15">
      <c r="Y1755" s="28"/>
      <c r="Z1755" s="28"/>
      <c r="AK1755" s="28"/>
    </row>
    <row r="1756" spans="25:37" x14ac:dyDescent="0.15">
      <c r="Y1756" s="28"/>
      <c r="Z1756" s="28"/>
      <c r="AK1756" s="28"/>
    </row>
    <row r="1757" spans="25:37" x14ac:dyDescent="0.15">
      <c r="Y1757" s="28"/>
      <c r="Z1757" s="28"/>
      <c r="AK1757" s="28"/>
    </row>
    <row r="1758" spans="25:37" x14ac:dyDescent="0.15">
      <c r="Y1758" s="28"/>
      <c r="Z1758" s="28"/>
      <c r="AK1758" s="28"/>
    </row>
    <row r="1759" spans="25:37" x14ac:dyDescent="0.15">
      <c r="Y1759" s="28"/>
      <c r="Z1759" s="28"/>
      <c r="AK1759" s="28"/>
    </row>
    <row r="1760" spans="25:37" x14ac:dyDescent="0.15">
      <c r="Y1760" s="28"/>
      <c r="Z1760" s="28"/>
      <c r="AK1760" s="28"/>
    </row>
    <row r="1761" spans="25:37" x14ac:dyDescent="0.15">
      <c r="Y1761" s="28"/>
      <c r="Z1761" s="28"/>
      <c r="AK1761" s="28"/>
    </row>
    <row r="1762" spans="25:37" x14ac:dyDescent="0.15">
      <c r="Y1762" s="28"/>
      <c r="Z1762" s="28"/>
      <c r="AK1762" s="28"/>
    </row>
    <row r="1763" spans="25:37" x14ac:dyDescent="0.15">
      <c r="Y1763" s="28"/>
      <c r="Z1763" s="28"/>
      <c r="AK1763" s="28"/>
    </row>
    <row r="1764" spans="25:37" x14ac:dyDescent="0.15">
      <c r="Y1764" s="28"/>
      <c r="Z1764" s="28"/>
      <c r="AK1764" s="28"/>
    </row>
    <row r="1765" spans="25:37" x14ac:dyDescent="0.15">
      <c r="Y1765" s="28"/>
      <c r="Z1765" s="28"/>
      <c r="AK1765" s="28"/>
    </row>
    <row r="1766" spans="25:37" x14ac:dyDescent="0.15">
      <c r="Y1766" s="28"/>
      <c r="Z1766" s="28"/>
      <c r="AK1766" s="28"/>
    </row>
    <row r="1767" spans="25:37" x14ac:dyDescent="0.15">
      <c r="Y1767" s="28"/>
      <c r="Z1767" s="28"/>
      <c r="AK1767" s="28"/>
    </row>
    <row r="1768" spans="25:37" x14ac:dyDescent="0.15">
      <c r="Y1768" s="28"/>
      <c r="Z1768" s="28"/>
      <c r="AK1768" s="28"/>
    </row>
    <row r="1769" spans="25:37" x14ac:dyDescent="0.15">
      <c r="Y1769" s="28"/>
      <c r="Z1769" s="28"/>
      <c r="AK1769" s="28"/>
    </row>
    <row r="1770" spans="25:37" x14ac:dyDescent="0.15">
      <c r="Y1770" s="28"/>
      <c r="Z1770" s="28"/>
      <c r="AK1770" s="28"/>
    </row>
    <row r="1771" spans="25:37" x14ac:dyDescent="0.15">
      <c r="Y1771" s="28"/>
      <c r="Z1771" s="28"/>
      <c r="AK1771" s="28"/>
    </row>
    <row r="1772" spans="25:37" x14ac:dyDescent="0.15">
      <c r="Y1772" s="28"/>
      <c r="Z1772" s="28"/>
      <c r="AK1772" s="28"/>
    </row>
    <row r="1773" spans="25:37" x14ac:dyDescent="0.15">
      <c r="Y1773" s="28"/>
      <c r="Z1773" s="28"/>
      <c r="AK1773" s="28"/>
    </row>
    <row r="1774" spans="25:37" x14ac:dyDescent="0.15">
      <c r="Y1774" s="28"/>
      <c r="Z1774" s="28"/>
      <c r="AK1774" s="28"/>
    </row>
    <row r="1775" spans="25:37" x14ac:dyDescent="0.15">
      <c r="Y1775" s="28"/>
      <c r="Z1775" s="28"/>
      <c r="AK1775" s="28"/>
    </row>
    <row r="1776" spans="25:37" x14ac:dyDescent="0.15">
      <c r="Y1776" s="28"/>
      <c r="Z1776" s="28"/>
      <c r="AK1776" s="28"/>
    </row>
    <row r="1777" spans="25:37" x14ac:dyDescent="0.15">
      <c r="Y1777" s="28"/>
      <c r="Z1777" s="28"/>
      <c r="AK1777" s="28"/>
    </row>
    <row r="1778" spans="25:37" x14ac:dyDescent="0.15">
      <c r="Y1778" s="28"/>
      <c r="Z1778" s="28"/>
      <c r="AK1778" s="28"/>
    </row>
    <row r="1779" spans="25:37" x14ac:dyDescent="0.15">
      <c r="Y1779" s="28"/>
      <c r="Z1779" s="28"/>
      <c r="AK1779" s="28"/>
    </row>
    <row r="1780" spans="25:37" x14ac:dyDescent="0.15">
      <c r="Y1780" s="28"/>
      <c r="Z1780" s="28"/>
      <c r="AK1780" s="28"/>
    </row>
    <row r="1781" spans="25:37" x14ac:dyDescent="0.15">
      <c r="Y1781" s="28"/>
      <c r="Z1781" s="28"/>
      <c r="AK1781" s="28"/>
    </row>
    <row r="1782" spans="25:37" x14ac:dyDescent="0.15">
      <c r="Y1782" s="28"/>
      <c r="Z1782" s="28"/>
      <c r="AK1782" s="28"/>
    </row>
    <row r="1783" spans="25:37" x14ac:dyDescent="0.15">
      <c r="Y1783" s="28"/>
      <c r="Z1783" s="28"/>
      <c r="AK1783" s="28"/>
    </row>
    <row r="1784" spans="25:37" x14ac:dyDescent="0.15">
      <c r="Y1784" s="28"/>
      <c r="Z1784" s="28"/>
      <c r="AK1784" s="28"/>
    </row>
    <row r="1785" spans="25:37" x14ac:dyDescent="0.15">
      <c r="Y1785" s="28"/>
      <c r="Z1785" s="28"/>
      <c r="AK1785" s="28"/>
    </row>
    <row r="1786" spans="25:37" x14ac:dyDescent="0.15">
      <c r="Y1786" s="28"/>
      <c r="Z1786" s="28"/>
      <c r="AK1786" s="28"/>
    </row>
    <row r="1787" spans="25:37" x14ac:dyDescent="0.15">
      <c r="Y1787" s="28"/>
      <c r="Z1787" s="28"/>
      <c r="AK1787" s="28"/>
    </row>
    <row r="1788" spans="25:37" x14ac:dyDescent="0.15">
      <c r="Y1788" s="28"/>
      <c r="Z1788" s="28"/>
      <c r="AK1788" s="28"/>
    </row>
    <row r="1789" spans="25:37" x14ac:dyDescent="0.15">
      <c r="Y1789" s="28"/>
      <c r="Z1789" s="28"/>
      <c r="AK1789" s="28"/>
    </row>
    <row r="1790" spans="25:37" x14ac:dyDescent="0.15">
      <c r="Y1790" s="28"/>
      <c r="Z1790" s="28"/>
      <c r="AK1790" s="28"/>
    </row>
    <row r="1791" spans="25:37" x14ac:dyDescent="0.15">
      <c r="Y1791" s="28"/>
      <c r="Z1791" s="28"/>
      <c r="AK1791" s="28"/>
    </row>
    <row r="1792" spans="25:37" x14ac:dyDescent="0.15">
      <c r="Y1792" s="28"/>
      <c r="Z1792" s="28"/>
      <c r="AK1792" s="28"/>
    </row>
    <row r="1793" spans="25:37" x14ac:dyDescent="0.15">
      <c r="Y1793" s="28"/>
      <c r="Z1793" s="28"/>
      <c r="AK1793" s="28"/>
    </row>
    <row r="1794" spans="25:37" x14ac:dyDescent="0.15">
      <c r="Y1794" s="28"/>
      <c r="Z1794" s="28"/>
      <c r="AK1794" s="28"/>
    </row>
    <row r="1795" spans="25:37" x14ac:dyDescent="0.15">
      <c r="Y1795" s="28"/>
      <c r="Z1795" s="28"/>
      <c r="AK1795" s="28"/>
    </row>
    <row r="1796" spans="25:37" x14ac:dyDescent="0.15">
      <c r="Y1796" s="28"/>
      <c r="Z1796" s="28"/>
      <c r="AK1796" s="28"/>
    </row>
    <row r="1797" spans="25:37" x14ac:dyDescent="0.15">
      <c r="Y1797" s="28"/>
      <c r="Z1797" s="28"/>
      <c r="AK1797" s="28"/>
    </row>
    <row r="1798" spans="25:37" x14ac:dyDescent="0.15">
      <c r="Y1798" s="28"/>
      <c r="Z1798" s="28"/>
      <c r="AK1798" s="28"/>
    </row>
    <row r="1799" spans="25:37" x14ac:dyDescent="0.15">
      <c r="Y1799" s="28"/>
      <c r="Z1799" s="28"/>
      <c r="AK1799" s="28"/>
    </row>
    <row r="1800" spans="25:37" x14ac:dyDescent="0.15">
      <c r="Y1800" s="28"/>
      <c r="Z1800" s="28"/>
      <c r="AK1800" s="28"/>
    </row>
    <row r="1801" spans="25:37" x14ac:dyDescent="0.15">
      <c r="Y1801" s="28"/>
      <c r="Z1801" s="28"/>
      <c r="AK1801" s="28"/>
    </row>
    <row r="1802" spans="25:37" x14ac:dyDescent="0.15">
      <c r="Y1802" s="28"/>
      <c r="Z1802" s="28"/>
      <c r="AK1802" s="28"/>
    </row>
    <row r="1803" spans="25:37" x14ac:dyDescent="0.15">
      <c r="Y1803" s="28"/>
      <c r="Z1803" s="28"/>
      <c r="AK1803" s="28"/>
    </row>
    <row r="1804" spans="25:37" x14ac:dyDescent="0.15">
      <c r="Y1804" s="28"/>
      <c r="Z1804" s="28"/>
      <c r="AK1804" s="28"/>
    </row>
    <row r="1805" spans="25:37" x14ac:dyDescent="0.15">
      <c r="Y1805" s="28"/>
      <c r="Z1805" s="28"/>
      <c r="AK1805" s="28"/>
    </row>
    <row r="1806" spans="25:37" x14ac:dyDescent="0.15">
      <c r="Y1806" s="28"/>
      <c r="Z1806" s="28"/>
      <c r="AK1806" s="28"/>
    </row>
    <row r="1807" spans="25:37" x14ac:dyDescent="0.15">
      <c r="Y1807" s="28"/>
      <c r="Z1807" s="28"/>
      <c r="AK1807" s="28"/>
    </row>
    <row r="1808" spans="25:37" x14ac:dyDescent="0.15">
      <c r="Y1808" s="28"/>
      <c r="Z1808" s="28"/>
      <c r="AK1808" s="28"/>
    </row>
    <row r="1809" spans="25:37" x14ac:dyDescent="0.15">
      <c r="Y1809" s="28"/>
      <c r="Z1809" s="28"/>
      <c r="AK1809" s="28"/>
    </row>
    <row r="1810" spans="25:37" x14ac:dyDescent="0.15">
      <c r="Y1810" s="28"/>
      <c r="Z1810" s="28"/>
      <c r="AK1810" s="28"/>
    </row>
    <row r="1811" spans="25:37" x14ac:dyDescent="0.15">
      <c r="Y1811" s="28"/>
      <c r="Z1811" s="28"/>
      <c r="AK1811" s="28"/>
    </row>
    <row r="1812" spans="25:37" x14ac:dyDescent="0.15">
      <c r="Y1812" s="28"/>
      <c r="Z1812" s="28"/>
      <c r="AK1812" s="28"/>
    </row>
    <row r="1813" spans="25:37" x14ac:dyDescent="0.15">
      <c r="Y1813" s="28"/>
      <c r="Z1813" s="28"/>
      <c r="AK1813" s="28"/>
    </row>
    <row r="1814" spans="25:37" x14ac:dyDescent="0.15">
      <c r="Y1814" s="28"/>
      <c r="Z1814" s="28"/>
      <c r="AK1814" s="28"/>
    </row>
    <row r="1815" spans="25:37" x14ac:dyDescent="0.15">
      <c r="Y1815" s="28"/>
      <c r="Z1815" s="28"/>
      <c r="AK1815" s="28"/>
    </row>
    <row r="1816" spans="25:37" x14ac:dyDescent="0.15">
      <c r="Y1816" s="28"/>
      <c r="Z1816" s="28"/>
      <c r="AK1816" s="28"/>
    </row>
    <row r="1817" spans="25:37" x14ac:dyDescent="0.15">
      <c r="Y1817" s="28"/>
      <c r="Z1817" s="28"/>
      <c r="AK1817" s="28"/>
    </row>
    <row r="1818" spans="25:37" x14ac:dyDescent="0.15">
      <c r="Y1818" s="28"/>
      <c r="Z1818" s="28"/>
      <c r="AK1818" s="28"/>
    </row>
    <row r="1819" spans="25:37" x14ac:dyDescent="0.15">
      <c r="Y1819" s="28"/>
      <c r="Z1819" s="28"/>
      <c r="AK1819" s="28"/>
    </row>
    <row r="1820" spans="25:37" x14ac:dyDescent="0.15">
      <c r="Y1820" s="28"/>
      <c r="Z1820" s="28"/>
      <c r="AK1820" s="28"/>
    </row>
    <row r="1821" spans="25:37" x14ac:dyDescent="0.15">
      <c r="Y1821" s="28"/>
      <c r="Z1821" s="28"/>
      <c r="AK1821" s="28"/>
    </row>
    <row r="1822" spans="25:37" x14ac:dyDescent="0.15">
      <c r="Y1822" s="28"/>
      <c r="Z1822" s="28"/>
      <c r="AK1822" s="28"/>
    </row>
    <row r="1823" spans="25:37" x14ac:dyDescent="0.15">
      <c r="Y1823" s="28"/>
      <c r="Z1823" s="28"/>
      <c r="AK1823" s="28"/>
    </row>
    <row r="1824" spans="25:37" x14ac:dyDescent="0.15">
      <c r="Y1824" s="28"/>
      <c r="Z1824" s="28"/>
      <c r="AK1824" s="28"/>
    </row>
    <row r="1825" spans="25:37" x14ac:dyDescent="0.15">
      <c r="Y1825" s="28"/>
      <c r="Z1825" s="28"/>
      <c r="AK1825" s="28"/>
    </row>
    <row r="1826" spans="25:37" x14ac:dyDescent="0.15">
      <c r="Y1826" s="28"/>
      <c r="Z1826" s="28"/>
      <c r="AK1826" s="28"/>
    </row>
    <row r="1827" spans="25:37" x14ac:dyDescent="0.15">
      <c r="Y1827" s="28"/>
      <c r="Z1827" s="28"/>
      <c r="AK1827" s="28"/>
    </row>
    <row r="1828" spans="25:37" x14ac:dyDescent="0.15">
      <c r="Y1828" s="28"/>
      <c r="Z1828" s="28"/>
      <c r="AK1828" s="28"/>
    </row>
    <row r="1829" spans="25:37" x14ac:dyDescent="0.15">
      <c r="Y1829" s="28"/>
      <c r="Z1829" s="28"/>
      <c r="AK1829" s="28"/>
    </row>
    <row r="1830" spans="25:37" x14ac:dyDescent="0.15">
      <c r="Y1830" s="28"/>
      <c r="Z1830" s="28"/>
      <c r="AK1830" s="28"/>
    </row>
    <row r="1831" spans="25:37" x14ac:dyDescent="0.15">
      <c r="Y1831" s="28"/>
      <c r="Z1831" s="28"/>
      <c r="AK1831" s="28"/>
    </row>
    <row r="1832" spans="25:37" x14ac:dyDescent="0.15">
      <c r="Y1832" s="28"/>
      <c r="Z1832" s="28"/>
      <c r="AK1832" s="28"/>
    </row>
    <row r="1833" spans="25:37" x14ac:dyDescent="0.15">
      <c r="Y1833" s="28"/>
      <c r="Z1833" s="28"/>
      <c r="AK1833" s="28"/>
    </row>
    <row r="1834" spans="25:37" x14ac:dyDescent="0.15">
      <c r="Y1834" s="28"/>
      <c r="Z1834" s="28"/>
      <c r="AK1834" s="28"/>
    </row>
    <row r="1835" spans="25:37" x14ac:dyDescent="0.15">
      <c r="Y1835" s="28"/>
      <c r="Z1835" s="28"/>
      <c r="AK1835" s="28"/>
    </row>
    <row r="1836" spans="25:37" x14ac:dyDescent="0.15">
      <c r="Y1836" s="28"/>
      <c r="Z1836" s="28"/>
      <c r="AK1836" s="28"/>
    </row>
    <row r="1837" spans="25:37" x14ac:dyDescent="0.15">
      <c r="Y1837" s="28"/>
      <c r="Z1837" s="28"/>
      <c r="AK1837" s="28"/>
    </row>
    <row r="1838" spans="25:37" x14ac:dyDescent="0.15">
      <c r="Y1838" s="28"/>
      <c r="Z1838" s="28"/>
      <c r="AK1838" s="28"/>
    </row>
    <row r="1839" spans="25:37" x14ac:dyDescent="0.15">
      <c r="Y1839" s="28"/>
      <c r="Z1839" s="28"/>
      <c r="AK1839" s="28"/>
    </row>
    <row r="1840" spans="25:37" x14ac:dyDescent="0.15">
      <c r="Y1840" s="28"/>
      <c r="Z1840" s="28"/>
      <c r="AK1840" s="28"/>
    </row>
    <row r="1841" spans="25:37" x14ac:dyDescent="0.15">
      <c r="Y1841" s="28"/>
      <c r="Z1841" s="28"/>
      <c r="AK1841" s="28"/>
    </row>
    <row r="1842" spans="25:37" x14ac:dyDescent="0.15">
      <c r="Y1842" s="28"/>
      <c r="Z1842" s="28"/>
      <c r="AK1842" s="28"/>
    </row>
    <row r="1843" spans="25:37" x14ac:dyDescent="0.15">
      <c r="Y1843" s="28"/>
      <c r="Z1843" s="28"/>
      <c r="AK1843" s="28"/>
    </row>
    <row r="1844" spans="25:37" x14ac:dyDescent="0.15">
      <c r="Y1844" s="28"/>
      <c r="Z1844" s="28"/>
      <c r="AK1844" s="28"/>
    </row>
    <row r="1845" spans="25:37" x14ac:dyDescent="0.15">
      <c r="Y1845" s="28"/>
      <c r="Z1845" s="28"/>
      <c r="AK1845" s="28"/>
    </row>
    <row r="1846" spans="25:37" x14ac:dyDescent="0.15">
      <c r="Y1846" s="28"/>
      <c r="Z1846" s="28"/>
      <c r="AK1846" s="28"/>
    </row>
    <row r="1847" spans="25:37" x14ac:dyDescent="0.15">
      <c r="Y1847" s="28"/>
      <c r="Z1847" s="28"/>
      <c r="AK1847" s="28"/>
    </row>
    <row r="1848" spans="25:37" x14ac:dyDescent="0.15">
      <c r="Y1848" s="28"/>
      <c r="Z1848" s="28"/>
      <c r="AK1848" s="28"/>
    </row>
    <row r="1849" spans="25:37" x14ac:dyDescent="0.15">
      <c r="Y1849" s="28"/>
      <c r="Z1849" s="28"/>
      <c r="AK1849" s="28"/>
    </row>
    <row r="1850" spans="25:37" x14ac:dyDescent="0.15">
      <c r="Y1850" s="28"/>
      <c r="Z1850" s="28"/>
      <c r="AK1850" s="28"/>
    </row>
    <row r="1851" spans="25:37" x14ac:dyDescent="0.15">
      <c r="Y1851" s="28"/>
      <c r="Z1851" s="28"/>
      <c r="AK1851" s="28"/>
    </row>
    <row r="1852" spans="25:37" x14ac:dyDescent="0.15">
      <c r="Y1852" s="28"/>
      <c r="Z1852" s="28"/>
      <c r="AK1852" s="28"/>
    </row>
    <row r="1853" spans="25:37" x14ac:dyDescent="0.15">
      <c r="Y1853" s="28"/>
      <c r="Z1853" s="28"/>
      <c r="AK1853" s="28"/>
    </row>
    <row r="1854" spans="25:37" x14ac:dyDescent="0.15">
      <c r="Y1854" s="28"/>
      <c r="Z1854" s="28"/>
      <c r="AK1854" s="28"/>
    </row>
    <row r="1855" spans="25:37" x14ac:dyDescent="0.15">
      <c r="Y1855" s="28"/>
      <c r="Z1855" s="28"/>
      <c r="AK1855" s="28"/>
    </row>
    <row r="1856" spans="25:37" x14ac:dyDescent="0.15">
      <c r="Y1856" s="28"/>
      <c r="Z1856" s="28"/>
      <c r="AK1856" s="28"/>
    </row>
    <row r="1857" spans="25:37" x14ac:dyDescent="0.15">
      <c r="Y1857" s="28"/>
      <c r="Z1857" s="28"/>
      <c r="AK1857" s="28"/>
    </row>
    <row r="1858" spans="25:37" x14ac:dyDescent="0.15">
      <c r="Y1858" s="28"/>
      <c r="Z1858" s="28"/>
      <c r="AK1858" s="28"/>
    </row>
    <row r="1859" spans="25:37" x14ac:dyDescent="0.15">
      <c r="Y1859" s="28"/>
      <c r="Z1859" s="28"/>
      <c r="AK1859" s="28"/>
    </row>
    <row r="1860" spans="25:37" x14ac:dyDescent="0.15">
      <c r="Y1860" s="28"/>
      <c r="Z1860" s="28"/>
      <c r="AK1860" s="28"/>
    </row>
    <row r="1861" spans="25:37" x14ac:dyDescent="0.15">
      <c r="Y1861" s="28"/>
      <c r="Z1861" s="28"/>
      <c r="AK1861" s="28"/>
    </row>
    <row r="1862" spans="25:37" x14ac:dyDescent="0.15">
      <c r="Y1862" s="28"/>
      <c r="Z1862" s="28"/>
      <c r="AK1862" s="28"/>
    </row>
    <row r="1863" spans="25:37" x14ac:dyDescent="0.15">
      <c r="Y1863" s="28"/>
      <c r="Z1863" s="28"/>
      <c r="AK1863" s="28"/>
    </row>
    <row r="1864" spans="25:37" x14ac:dyDescent="0.15">
      <c r="Y1864" s="28"/>
      <c r="Z1864" s="28"/>
      <c r="AK1864" s="28"/>
    </row>
    <row r="1865" spans="25:37" x14ac:dyDescent="0.15">
      <c r="Y1865" s="28"/>
      <c r="Z1865" s="28"/>
      <c r="AK1865" s="28"/>
    </row>
    <row r="1866" spans="25:37" x14ac:dyDescent="0.15">
      <c r="Y1866" s="28"/>
      <c r="Z1866" s="28"/>
      <c r="AK1866" s="28"/>
    </row>
    <row r="1867" spans="25:37" x14ac:dyDescent="0.15">
      <c r="Y1867" s="28"/>
      <c r="Z1867" s="28"/>
      <c r="AK1867" s="28"/>
    </row>
    <row r="1868" spans="25:37" x14ac:dyDescent="0.15">
      <c r="Y1868" s="28"/>
      <c r="Z1868" s="28"/>
      <c r="AK1868" s="28"/>
    </row>
    <row r="1869" spans="25:37" x14ac:dyDescent="0.15">
      <c r="Y1869" s="28"/>
      <c r="Z1869" s="28"/>
      <c r="AK1869" s="28"/>
    </row>
    <row r="1870" spans="25:37" x14ac:dyDescent="0.15">
      <c r="Y1870" s="28"/>
      <c r="Z1870" s="28"/>
      <c r="AK1870" s="28"/>
    </row>
    <row r="1871" spans="25:37" x14ac:dyDescent="0.15">
      <c r="Y1871" s="28"/>
      <c r="Z1871" s="28"/>
      <c r="AK1871" s="28"/>
    </row>
    <row r="1872" spans="25:37" x14ac:dyDescent="0.15">
      <c r="Y1872" s="28"/>
      <c r="Z1872" s="28"/>
      <c r="AK1872" s="28"/>
    </row>
    <row r="1873" spans="25:37" x14ac:dyDescent="0.15">
      <c r="Y1873" s="28"/>
      <c r="Z1873" s="28"/>
      <c r="AK1873" s="28"/>
    </row>
    <row r="1874" spans="25:37" x14ac:dyDescent="0.15">
      <c r="Y1874" s="28"/>
      <c r="Z1874" s="28"/>
      <c r="AK1874" s="28"/>
    </row>
    <row r="1875" spans="25:37" x14ac:dyDescent="0.15">
      <c r="Y1875" s="28"/>
      <c r="Z1875" s="28"/>
      <c r="AK1875" s="28"/>
    </row>
    <row r="1876" spans="25:37" x14ac:dyDescent="0.15">
      <c r="Y1876" s="28"/>
      <c r="Z1876" s="28"/>
      <c r="AK1876" s="28"/>
    </row>
    <row r="1877" spans="25:37" x14ac:dyDescent="0.15">
      <c r="Y1877" s="28"/>
      <c r="Z1877" s="28"/>
      <c r="AK1877" s="28"/>
    </row>
    <row r="1878" spans="25:37" x14ac:dyDescent="0.15">
      <c r="Y1878" s="28"/>
      <c r="Z1878" s="28"/>
      <c r="AK1878" s="28"/>
    </row>
    <row r="1879" spans="25:37" x14ac:dyDescent="0.15">
      <c r="Y1879" s="28"/>
      <c r="Z1879" s="28"/>
      <c r="AK1879" s="28"/>
    </row>
    <row r="1880" spans="25:37" x14ac:dyDescent="0.15">
      <c r="Y1880" s="28"/>
      <c r="Z1880" s="28"/>
      <c r="AK1880" s="28"/>
    </row>
    <row r="1881" spans="25:37" x14ac:dyDescent="0.15">
      <c r="Y1881" s="28"/>
      <c r="Z1881" s="28"/>
      <c r="AK1881" s="28"/>
    </row>
    <row r="1882" spans="25:37" x14ac:dyDescent="0.15">
      <c r="Y1882" s="28"/>
      <c r="Z1882" s="28"/>
      <c r="AK1882" s="28"/>
    </row>
    <row r="1883" spans="25:37" x14ac:dyDescent="0.15">
      <c r="Y1883" s="28"/>
      <c r="Z1883" s="28"/>
      <c r="AK1883" s="28"/>
    </row>
    <row r="1884" spans="25:37" x14ac:dyDescent="0.15">
      <c r="Y1884" s="28"/>
      <c r="Z1884" s="28"/>
      <c r="AK1884" s="28"/>
    </row>
    <row r="1885" spans="25:37" x14ac:dyDescent="0.15">
      <c r="Y1885" s="28"/>
      <c r="Z1885" s="28"/>
      <c r="AK1885" s="28"/>
    </row>
    <row r="1886" spans="25:37" x14ac:dyDescent="0.15">
      <c r="Y1886" s="28"/>
      <c r="Z1886" s="28"/>
      <c r="AK1886" s="28"/>
    </row>
    <row r="1887" spans="25:37" x14ac:dyDescent="0.15">
      <c r="Y1887" s="28"/>
      <c r="Z1887" s="28"/>
      <c r="AK1887" s="28"/>
    </row>
    <row r="1888" spans="25:37" x14ac:dyDescent="0.15">
      <c r="Y1888" s="28"/>
      <c r="Z1888" s="28"/>
      <c r="AK1888" s="28"/>
    </row>
    <row r="1889" spans="25:37" x14ac:dyDescent="0.15">
      <c r="Y1889" s="28"/>
      <c r="Z1889" s="28"/>
      <c r="AK1889" s="28"/>
    </row>
    <row r="1890" spans="25:37" x14ac:dyDescent="0.15">
      <c r="Y1890" s="28"/>
      <c r="Z1890" s="28"/>
      <c r="AK1890" s="28"/>
    </row>
    <row r="1891" spans="25:37" x14ac:dyDescent="0.15">
      <c r="Y1891" s="28"/>
      <c r="Z1891" s="28"/>
      <c r="AK1891" s="28"/>
    </row>
    <row r="1892" spans="25:37" x14ac:dyDescent="0.15">
      <c r="Y1892" s="28"/>
      <c r="Z1892" s="28"/>
      <c r="AK1892" s="28"/>
    </row>
    <row r="1893" spans="25:37" x14ac:dyDescent="0.15">
      <c r="Y1893" s="28"/>
      <c r="Z1893" s="28"/>
      <c r="AK1893" s="28"/>
    </row>
    <row r="1894" spans="25:37" x14ac:dyDescent="0.15">
      <c r="Y1894" s="28"/>
      <c r="Z1894" s="28"/>
      <c r="AK1894" s="28"/>
    </row>
    <row r="1895" spans="25:37" x14ac:dyDescent="0.15">
      <c r="Y1895" s="28"/>
      <c r="Z1895" s="28"/>
      <c r="AK1895" s="28"/>
    </row>
    <row r="1896" spans="25:37" x14ac:dyDescent="0.15">
      <c r="Y1896" s="28"/>
      <c r="Z1896" s="28"/>
      <c r="AK1896" s="28"/>
    </row>
    <row r="1897" spans="25:37" x14ac:dyDescent="0.15">
      <c r="Y1897" s="28"/>
      <c r="Z1897" s="28"/>
      <c r="AK1897" s="28"/>
    </row>
    <row r="1898" spans="25:37" x14ac:dyDescent="0.15">
      <c r="Y1898" s="28"/>
      <c r="Z1898" s="28"/>
      <c r="AK1898" s="28"/>
    </row>
    <row r="1899" spans="25:37" x14ac:dyDescent="0.15">
      <c r="Y1899" s="28"/>
      <c r="Z1899" s="28"/>
      <c r="AK1899" s="28"/>
    </row>
    <row r="1900" spans="25:37" x14ac:dyDescent="0.15">
      <c r="Y1900" s="28"/>
      <c r="Z1900" s="28"/>
      <c r="AK1900" s="28"/>
    </row>
    <row r="1901" spans="25:37" x14ac:dyDescent="0.15">
      <c r="Y1901" s="28"/>
      <c r="Z1901" s="28"/>
      <c r="AK1901" s="28"/>
    </row>
    <row r="1902" spans="25:37" x14ac:dyDescent="0.15">
      <c r="Y1902" s="28"/>
      <c r="Z1902" s="28"/>
      <c r="AK1902" s="28"/>
    </row>
    <row r="1903" spans="25:37" x14ac:dyDescent="0.15">
      <c r="Y1903" s="28"/>
      <c r="Z1903" s="28"/>
      <c r="AK1903" s="28"/>
    </row>
    <row r="1904" spans="25:37" x14ac:dyDescent="0.15">
      <c r="Y1904" s="28"/>
      <c r="Z1904" s="28"/>
      <c r="AK1904" s="28"/>
    </row>
    <row r="1905" spans="25:37" x14ac:dyDescent="0.15">
      <c r="Y1905" s="28"/>
      <c r="Z1905" s="28"/>
      <c r="AK1905" s="28"/>
    </row>
    <row r="1906" spans="25:37" x14ac:dyDescent="0.15">
      <c r="Y1906" s="28"/>
      <c r="Z1906" s="28"/>
      <c r="AK1906" s="28"/>
    </row>
    <row r="1907" spans="25:37" x14ac:dyDescent="0.15">
      <c r="Y1907" s="28"/>
      <c r="Z1907" s="28"/>
      <c r="AK1907" s="28"/>
    </row>
    <row r="1908" spans="25:37" x14ac:dyDescent="0.15">
      <c r="Y1908" s="28"/>
      <c r="Z1908" s="28"/>
      <c r="AK1908" s="28"/>
    </row>
    <row r="1909" spans="25:37" x14ac:dyDescent="0.15">
      <c r="Y1909" s="28"/>
      <c r="Z1909" s="28"/>
      <c r="AK1909" s="28"/>
    </row>
    <row r="1910" spans="25:37" x14ac:dyDescent="0.15">
      <c r="Y1910" s="28"/>
      <c r="Z1910" s="28"/>
      <c r="AK1910" s="28"/>
    </row>
    <row r="1911" spans="25:37" x14ac:dyDescent="0.15">
      <c r="Y1911" s="28"/>
      <c r="Z1911" s="28"/>
      <c r="AK1911" s="28"/>
    </row>
    <row r="1912" spans="25:37" x14ac:dyDescent="0.15">
      <c r="Y1912" s="28"/>
      <c r="Z1912" s="28"/>
      <c r="AK1912" s="28"/>
    </row>
    <row r="1913" spans="25:37" x14ac:dyDescent="0.15">
      <c r="Y1913" s="28"/>
      <c r="Z1913" s="28"/>
      <c r="AK1913" s="28"/>
    </row>
    <row r="1914" spans="25:37" x14ac:dyDescent="0.15">
      <c r="Y1914" s="28"/>
      <c r="Z1914" s="28"/>
      <c r="AK1914" s="28"/>
    </row>
    <row r="1915" spans="25:37" x14ac:dyDescent="0.15">
      <c r="Y1915" s="28"/>
      <c r="Z1915" s="28"/>
      <c r="AK1915" s="28"/>
    </row>
    <row r="1916" spans="25:37" x14ac:dyDescent="0.15">
      <c r="Y1916" s="28"/>
      <c r="Z1916" s="28"/>
      <c r="AK1916" s="28"/>
    </row>
    <row r="1917" spans="25:37" x14ac:dyDescent="0.15">
      <c r="Y1917" s="28"/>
      <c r="Z1917" s="28"/>
      <c r="AK1917" s="28"/>
    </row>
    <row r="1918" spans="25:37" x14ac:dyDescent="0.15">
      <c r="Y1918" s="28"/>
      <c r="Z1918" s="28"/>
      <c r="AK1918" s="28"/>
    </row>
    <row r="1919" spans="25:37" x14ac:dyDescent="0.15">
      <c r="Y1919" s="28"/>
      <c r="Z1919" s="28"/>
      <c r="AK1919" s="28"/>
    </row>
    <row r="1920" spans="25:37" x14ac:dyDescent="0.15">
      <c r="Y1920" s="28"/>
      <c r="Z1920" s="28"/>
      <c r="AK1920" s="28"/>
    </row>
    <row r="1921" spans="25:37" x14ac:dyDescent="0.15">
      <c r="Y1921" s="28"/>
      <c r="Z1921" s="28"/>
      <c r="AK1921" s="28"/>
    </row>
    <row r="1922" spans="25:37" x14ac:dyDescent="0.15">
      <c r="Y1922" s="28"/>
      <c r="Z1922" s="28"/>
      <c r="AK1922" s="28"/>
    </row>
    <row r="1923" spans="25:37" x14ac:dyDescent="0.15">
      <c r="Y1923" s="28"/>
      <c r="Z1923" s="28"/>
      <c r="AK1923" s="28"/>
    </row>
    <row r="1924" spans="25:37" x14ac:dyDescent="0.15">
      <c r="Y1924" s="28"/>
      <c r="Z1924" s="28"/>
      <c r="AK1924" s="28"/>
    </row>
    <row r="1925" spans="25:37" x14ac:dyDescent="0.15">
      <c r="Y1925" s="28"/>
      <c r="Z1925" s="28"/>
      <c r="AK1925" s="28"/>
    </row>
    <row r="1926" spans="25:37" x14ac:dyDescent="0.15">
      <c r="Y1926" s="28"/>
      <c r="Z1926" s="28"/>
      <c r="AK1926" s="28"/>
    </row>
    <row r="1927" spans="25:37" x14ac:dyDescent="0.15">
      <c r="Y1927" s="28"/>
      <c r="Z1927" s="28"/>
      <c r="AK1927" s="28"/>
    </row>
    <row r="1928" spans="25:37" x14ac:dyDescent="0.15">
      <c r="Y1928" s="28"/>
      <c r="Z1928" s="28"/>
      <c r="AK1928" s="28"/>
    </row>
    <row r="1929" spans="25:37" x14ac:dyDescent="0.15">
      <c r="Y1929" s="28"/>
      <c r="Z1929" s="28"/>
      <c r="AK1929" s="28"/>
    </row>
    <row r="1930" spans="25:37" x14ac:dyDescent="0.15">
      <c r="Y1930" s="28"/>
      <c r="Z1930" s="28"/>
      <c r="AK1930" s="28"/>
    </row>
    <row r="1931" spans="25:37" x14ac:dyDescent="0.15">
      <c r="Y1931" s="28"/>
      <c r="Z1931" s="28"/>
      <c r="AK1931" s="28"/>
    </row>
    <row r="1932" spans="25:37" x14ac:dyDescent="0.15">
      <c r="Y1932" s="28"/>
      <c r="Z1932" s="28"/>
      <c r="AK1932" s="28"/>
    </row>
    <row r="1933" spans="25:37" x14ac:dyDescent="0.15">
      <c r="Y1933" s="28"/>
      <c r="Z1933" s="28"/>
      <c r="AK1933" s="28"/>
    </row>
    <row r="1934" spans="25:37" x14ac:dyDescent="0.15">
      <c r="Y1934" s="28"/>
      <c r="Z1934" s="28"/>
      <c r="AK1934" s="28"/>
    </row>
    <row r="1935" spans="25:37" x14ac:dyDescent="0.15">
      <c r="Y1935" s="28"/>
      <c r="Z1935" s="28"/>
      <c r="AK1935" s="28"/>
    </row>
    <row r="1936" spans="25:37" x14ac:dyDescent="0.15">
      <c r="Y1936" s="28"/>
      <c r="Z1936" s="28"/>
      <c r="AK1936" s="28"/>
    </row>
    <row r="1937" spans="25:37" x14ac:dyDescent="0.15">
      <c r="Y1937" s="28"/>
      <c r="Z1937" s="28"/>
      <c r="AK1937" s="28"/>
    </row>
    <row r="1938" spans="25:37" x14ac:dyDescent="0.15">
      <c r="Y1938" s="28"/>
      <c r="Z1938" s="28"/>
      <c r="AK1938" s="28"/>
    </row>
    <row r="1939" spans="25:37" x14ac:dyDescent="0.15">
      <c r="Y1939" s="28"/>
      <c r="Z1939" s="28"/>
      <c r="AK1939" s="28"/>
    </row>
    <row r="1940" spans="25:37" x14ac:dyDescent="0.15">
      <c r="Y1940" s="28"/>
      <c r="Z1940" s="28"/>
      <c r="AK1940" s="28"/>
    </row>
    <row r="1941" spans="25:37" x14ac:dyDescent="0.15">
      <c r="Y1941" s="28"/>
      <c r="Z1941" s="28"/>
      <c r="AK1941" s="28"/>
    </row>
    <row r="1942" spans="25:37" x14ac:dyDescent="0.15">
      <c r="Y1942" s="28"/>
      <c r="Z1942" s="28"/>
      <c r="AK1942" s="28"/>
    </row>
    <row r="1943" spans="25:37" x14ac:dyDescent="0.15">
      <c r="Y1943" s="28"/>
      <c r="Z1943" s="28"/>
      <c r="AK1943" s="28"/>
    </row>
    <row r="1944" spans="25:37" x14ac:dyDescent="0.15">
      <c r="Y1944" s="28"/>
      <c r="Z1944" s="28"/>
      <c r="AK1944" s="28"/>
    </row>
    <row r="1945" spans="25:37" x14ac:dyDescent="0.15">
      <c r="Y1945" s="28"/>
      <c r="Z1945" s="28"/>
      <c r="AK1945" s="28"/>
    </row>
    <row r="1946" spans="25:37" x14ac:dyDescent="0.15">
      <c r="Y1946" s="28"/>
      <c r="Z1946" s="28"/>
      <c r="AK1946" s="28"/>
    </row>
    <row r="1947" spans="25:37" x14ac:dyDescent="0.15">
      <c r="Y1947" s="28"/>
      <c r="Z1947" s="28"/>
      <c r="AK1947" s="28"/>
    </row>
    <row r="1948" spans="25:37" x14ac:dyDescent="0.15">
      <c r="Y1948" s="28"/>
      <c r="Z1948" s="28"/>
      <c r="AK1948" s="28"/>
    </row>
    <row r="1949" spans="25:37" x14ac:dyDescent="0.15">
      <c r="Y1949" s="28"/>
      <c r="Z1949" s="28"/>
      <c r="AK1949" s="28"/>
    </row>
    <row r="1950" spans="25:37" x14ac:dyDescent="0.15">
      <c r="Y1950" s="28"/>
      <c r="Z1950" s="28"/>
      <c r="AK1950" s="28"/>
    </row>
    <row r="1951" spans="25:37" x14ac:dyDescent="0.15">
      <c r="Y1951" s="28"/>
      <c r="Z1951" s="28"/>
      <c r="AK1951" s="28"/>
    </row>
    <row r="1952" spans="25:37" x14ac:dyDescent="0.15">
      <c r="Y1952" s="28"/>
      <c r="Z1952" s="28"/>
      <c r="AK1952" s="28"/>
    </row>
    <row r="1953" spans="25:37" x14ac:dyDescent="0.15">
      <c r="Y1953" s="28"/>
      <c r="Z1953" s="28"/>
      <c r="AK1953" s="28"/>
    </row>
    <row r="1954" spans="25:37" x14ac:dyDescent="0.15">
      <c r="Y1954" s="28"/>
      <c r="Z1954" s="28"/>
      <c r="AK1954" s="28"/>
    </row>
    <row r="1955" spans="25:37" x14ac:dyDescent="0.15">
      <c r="Y1955" s="28"/>
      <c r="Z1955" s="28"/>
      <c r="AK1955" s="28"/>
    </row>
    <row r="1956" spans="25:37" x14ac:dyDescent="0.15">
      <c r="Y1956" s="28"/>
      <c r="Z1956" s="28"/>
      <c r="AK1956" s="28"/>
    </row>
    <row r="1957" spans="25:37" x14ac:dyDescent="0.15">
      <c r="Y1957" s="28"/>
      <c r="Z1957" s="28"/>
      <c r="AK1957" s="28"/>
    </row>
    <row r="1958" spans="25:37" x14ac:dyDescent="0.15">
      <c r="Y1958" s="28"/>
      <c r="Z1958" s="28"/>
      <c r="AK1958" s="28"/>
    </row>
    <row r="1959" spans="25:37" x14ac:dyDescent="0.15">
      <c r="Y1959" s="28"/>
      <c r="Z1959" s="28"/>
      <c r="AK1959" s="28"/>
    </row>
    <row r="1960" spans="25:37" x14ac:dyDescent="0.15">
      <c r="Y1960" s="28"/>
      <c r="Z1960" s="28"/>
      <c r="AK1960" s="28"/>
    </row>
    <row r="1961" spans="25:37" x14ac:dyDescent="0.15">
      <c r="Y1961" s="28"/>
      <c r="Z1961" s="28"/>
      <c r="AK1961" s="28"/>
    </row>
    <row r="1962" spans="25:37" x14ac:dyDescent="0.15">
      <c r="Y1962" s="28"/>
      <c r="Z1962" s="28"/>
      <c r="AK1962" s="28"/>
    </row>
    <row r="1963" spans="25:37" x14ac:dyDescent="0.15">
      <c r="Y1963" s="28"/>
      <c r="Z1963" s="28"/>
      <c r="AK1963" s="28"/>
    </row>
    <row r="1964" spans="25:37" x14ac:dyDescent="0.15">
      <c r="Y1964" s="28"/>
      <c r="Z1964" s="28"/>
      <c r="AK1964" s="28"/>
    </row>
    <row r="1965" spans="25:37" x14ac:dyDescent="0.15">
      <c r="Y1965" s="28"/>
      <c r="Z1965" s="28"/>
      <c r="AK1965" s="28"/>
    </row>
    <row r="1966" spans="25:37" x14ac:dyDescent="0.15">
      <c r="Y1966" s="28"/>
      <c r="Z1966" s="28"/>
      <c r="AK1966" s="28"/>
    </row>
    <row r="1967" spans="25:37" x14ac:dyDescent="0.15">
      <c r="Y1967" s="28"/>
      <c r="Z1967" s="28"/>
      <c r="AK1967" s="28"/>
    </row>
    <row r="1968" spans="25:37" x14ac:dyDescent="0.15">
      <c r="Y1968" s="28"/>
      <c r="Z1968" s="28"/>
      <c r="AK1968" s="28"/>
    </row>
    <row r="1969" spans="25:37" x14ac:dyDescent="0.15">
      <c r="Y1969" s="28"/>
      <c r="Z1969" s="28"/>
      <c r="AK1969" s="28"/>
    </row>
    <row r="1970" spans="25:37" x14ac:dyDescent="0.15">
      <c r="Y1970" s="28"/>
      <c r="Z1970" s="28"/>
      <c r="AK1970" s="28"/>
    </row>
    <row r="1971" spans="25:37" x14ac:dyDescent="0.15">
      <c r="Y1971" s="28"/>
      <c r="Z1971" s="28"/>
      <c r="AK1971" s="28"/>
    </row>
    <row r="1972" spans="25:37" x14ac:dyDescent="0.15">
      <c r="Y1972" s="28"/>
      <c r="Z1972" s="28"/>
      <c r="AK1972" s="28"/>
    </row>
    <row r="1973" spans="25:37" x14ac:dyDescent="0.15">
      <c r="Y1973" s="28"/>
      <c r="Z1973" s="28"/>
      <c r="AK1973" s="28"/>
    </row>
    <row r="1974" spans="25:37" x14ac:dyDescent="0.15">
      <c r="Y1974" s="28"/>
      <c r="Z1974" s="28"/>
      <c r="AK1974" s="28"/>
    </row>
    <row r="1975" spans="25:37" x14ac:dyDescent="0.15">
      <c r="Y1975" s="28"/>
      <c r="Z1975" s="28"/>
      <c r="AK1975" s="28"/>
    </row>
    <row r="1976" spans="25:37" x14ac:dyDescent="0.15">
      <c r="Y1976" s="28"/>
      <c r="Z1976" s="28"/>
      <c r="AK1976" s="28"/>
    </row>
    <row r="1977" spans="25:37" x14ac:dyDescent="0.15">
      <c r="Y1977" s="28"/>
      <c r="Z1977" s="28"/>
      <c r="AK1977" s="28"/>
    </row>
    <row r="1978" spans="25:37" x14ac:dyDescent="0.15">
      <c r="Y1978" s="28"/>
      <c r="Z1978" s="28"/>
      <c r="AK1978" s="28"/>
    </row>
    <row r="1979" spans="25:37" x14ac:dyDescent="0.15">
      <c r="Y1979" s="28"/>
      <c r="Z1979" s="28"/>
      <c r="AK1979" s="28"/>
    </row>
    <row r="1980" spans="25:37" x14ac:dyDescent="0.15">
      <c r="Y1980" s="28"/>
      <c r="Z1980" s="28"/>
      <c r="AK1980" s="28"/>
    </row>
    <row r="1981" spans="25:37" x14ac:dyDescent="0.15">
      <c r="Y1981" s="28"/>
      <c r="Z1981" s="28"/>
      <c r="AK1981" s="28"/>
    </row>
    <row r="1982" spans="25:37" x14ac:dyDescent="0.15">
      <c r="Y1982" s="28"/>
      <c r="Z1982" s="28"/>
      <c r="AK1982" s="28"/>
    </row>
    <row r="1983" spans="25:37" x14ac:dyDescent="0.15">
      <c r="Y1983" s="28"/>
      <c r="Z1983" s="28"/>
      <c r="AK1983" s="28"/>
    </row>
    <row r="1984" spans="25:37" x14ac:dyDescent="0.15">
      <c r="Y1984" s="28"/>
      <c r="Z1984" s="28"/>
      <c r="AK1984" s="28"/>
    </row>
    <row r="1985" spans="25:37" x14ac:dyDescent="0.15">
      <c r="Y1985" s="28"/>
      <c r="Z1985" s="28"/>
      <c r="AK1985" s="28"/>
    </row>
    <row r="1986" spans="25:37" x14ac:dyDescent="0.15">
      <c r="Y1986" s="28"/>
      <c r="Z1986" s="28"/>
      <c r="AK1986" s="28"/>
    </row>
    <row r="1987" spans="25:37" x14ac:dyDescent="0.15">
      <c r="Y1987" s="28"/>
      <c r="Z1987" s="28"/>
      <c r="AK1987" s="28"/>
    </row>
    <row r="1988" spans="25:37" x14ac:dyDescent="0.15">
      <c r="Y1988" s="28"/>
      <c r="Z1988" s="28"/>
      <c r="AK1988" s="28"/>
    </row>
    <row r="1989" spans="25:37" x14ac:dyDescent="0.15">
      <c r="Y1989" s="28"/>
      <c r="Z1989" s="28"/>
      <c r="AK1989" s="28"/>
    </row>
    <row r="1990" spans="25:37" x14ac:dyDescent="0.15">
      <c r="Y1990" s="28"/>
      <c r="Z1990" s="28"/>
      <c r="AK1990" s="28"/>
    </row>
    <row r="1991" spans="25:37" x14ac:dyDescent="0.15">
      <c r="Y1991" s="28"/>
      <c r="Z1991" s="28"/>
      <c r="AK1991" s="28"/>
    </row>
    <row r="1992" spans="25:37" x14ac:dyDescent="0.15">
      <c r="Y1992" s="28"/>
      <c r="Z1992" s="28"/>
      <c r="AK1992" s="28"/>
    </row>
    <row r="1993" spans="25:37" x14ac:dyDescent="0.15">
      <c r="Y1993" s="28"/>
      <c r="Z1993" s="28"/>
      <c r="AK1993" s="28"/>
    </row>
    <row r="1994" spans="25:37" x14ac:dyDescent="0.15">
      <c r="Y1994" s="28"/>
      <c r="Z1994" s="28"/>
      <c r="AK1994" s="28"/>
    </row>
    <row r="1995" spans="25:37" x14ac:dyDescent="0.15">
      <c r="Y1995" s="28"/>
      <c r="Z1995" s="28"/>
      <c r="AK1995" s="28"/>
    </row>
    <row r="1996" spans="25:37" x14ac:dyDescent="0.15">
      <c r="Y1996" s="28"/>
      <c r="Z1996" s="28"/>
      <c r="AK1996" s="28"/>
    </row>
    <row r="1997" spans="25:37" x14ac:dyDescent="0.15">
      <c r="Y1997" s="28"/>
      <c r="Z1997" s="28"/>
      <c r="AK1997" s="28"/>
    </row>
    <row r="1998" spans="25:37" x14ac:dyDescent="0.15">
      <c r="Y1998" s="28"/>
      <c r="Z1998" s="28"/>
      <c r="AK1998" s="28"/>
    </row>
    <row r="1999" spans="25:37" x14ac:dyDescent="0.15">
      <c r="Y1999" s="28"/>
      <c r="Z1999" s="28"/>
      <c r="AK1999" s="28"/>
    </row>
    <row r="2000" spans="25:37" x14ac:dyDescent="0.15">
      <c r="Y2000" s="28"/>
      <c r="Z2000" s="28"/>
      <c r="AK2000" s="28"/>
    </row>
    <row r="2001" spans="25:37" x14ac:dyDescent="0.15">
      <c r="Y2001" s="28"/>
      <c r="Z2001" s="28"/>
      <c r="AK2001" s="28"/>
    </row>
    <row r="2002" spans="25:37" x14ac:dyDescent="0.15">
      <c r="Y2002" s="28"/>
      <c r="Z2002" s="28"/>
      <c r="AK2002" s="28"/>
    </row>
    <row r="2003" spans="25:37" x14ac:dyDescent="0.15">
      <c r="Y2003" s="28"/>
      <c r="Z2003" s="28"/>
      <c r="AK2003" s="28"/>
    </row>
    <row r="2004" spans="25:37" x14ac:dyDescent="0.15">
      <c r="Y2004" s="28"/>
      <c r="Z2004" s="28"/>
      <c r="AK2004" s="28"/>
    </row>
    <row r="2005" spans="25:37" x14ac:dyDescent="0.15">
      <c r="Y2005" s="28"/>
      <c r="Z2005" s="28"/>
      <c r="AK2005" s="28"/>
    </row>
    <row r="2006" spans="25:37" x14ac:dyDescent="0.15">
      <c r="Y2006" s="28"/>
      <c r="Z2006" s="28"/>
      <c r="AK2006" s="28"/>
    </row>
    <row r="2007" spans="25:37" x14ac:dyDescent="0.15">
      <c r="Y2007" s="28"/>
      <c r="Z2007" s="28"/>
      <c r="AK2007" s="28"/>
    </row>
    <row r="2008" spans="25:37" x14ac:dyDescent="0.15">
      <c r="Y2008" s="28"/>
      <c r="Z2008" s="28"/>
      <c r="AK2008" s="28"/>
    </row>
    <row r="2009" spans="25:37" x14ac:dyDescent="0.15">
      <c r="Y2009" s="28"/>
      <c r="Z2009" s="28"/>
      <c r="AK2009" s="28"/>
    </row>
    <row r="2010" spans="25:37" x14ac:dyDescent="0.15">
      <c r="Y2010" s="28"/>
      <c r="Z2010" s="28"/>
      <c r="AK2010" s="28"/>
    </row>
    <row r="2011" spans="25:37" x14ac:dyDescent="0.15">
      <c r="Y2011" s="28"/>
      <c r="Z2011" s="28"/>
      <c r="AK2011" s="28"/>
    </row>
    <row r="2012" spans="25:37" x14ac:dyDescent="0.15">
      <c r="Y2012" s="28"/>
      <c r="Z2012" s="28"/>
      <c r="AK2012" s="28"/>
    </row>
    <row r="2013" spans="25:37" x14ac:dyDescent="0.15">
      <c r="Y2013" s="28"/>
      <c r="Z2013" s="28"/>
      <c r="AK2013" s="28"/>
    </row>
    <row r="2014" spans="25:37" x14ac:dyDescent="0.15">
      <c r="Y2014" s="28"/>
      <c r="Z2014" s="28"/>
      <c r="AK2014" s="28"/>
    </row>
    <row r="2015" spans="25:37" x14ac:dyDescent="0.15">
      <c r="Y2015" s="28"/>
      <c r="Z2015" s="28"/>
      <c r="AK2015" s="28"/>
    </row>
    <row r="2016" spans="25:37" x14ac:dyDescent="0.15">
      <c r="Y2016" s="28"/>
      <c r="Z2016" s="28"/>
      <c r="AK2016" s="28"/>
    </row>
    <row r="2017" spans="25:37" x14ac:dyDescent="0.15">
      <c r="Y2017" s="28"/>
      <c r="Z2017" s="28"/>
      <c r="AK2017" s="28"/>
    </row>
    <row r="2018" spans="25:37" x14ac:dyDescent="0.15">
      <c r="Y2018" s="28"/>
      <c r="Z2018" s="28"/>
      <c r="AK2018" s="28"/>
    </row>
    <row r="2019" spans="25:37" x14ac:dyDescent="0.15">
      <c r="Y2019" s="28"/>
      <c r="Z2019" s="28"/>
      <c r="AK2019" s="28"/>
    </row>
    <row r="2020" spans="25:37" x14ac:dyDescent="0.15">
      <c r="Y2020" s="28"/>
      <c r="Z2020" s="28"/>
      <c r="AK2020" s="28"/>
    </row>
    <row r="2021" spans="25:37" x14ac:dyDescent="0.15">
      <c r="Y2021" s="28"/>
      <c r="Z2021" s="28"/>
      <c r="AK2021" s="28"/>
    </row>
    <row r="2022" spans="25:37" x14ac:dyDescent="0.15">
      <c r="Y2022" s="28"/>
      <c r="Z2022" s="28"/>
      <c r="AK2022" s="28"/>
    </row>
    <row r="2023" spans="25:37" x14ac:dyDescent="0.15">
      <c r="Y2023" s="28"/>
      <c r="Z2023" s="28"/>
      <c r="AK2023" s="28"/>
    </row>
    <row r="2024" spans="25:37" x14ac:dyDescent="0.15">
      <c r="Y2024" s="28"/>
      <c r="Z2024" s="28"/>
      <c r="AK2024" s="28"/>
    </row>
    <row r="2025" spans="25:37" x14ac:dyDescent="0.15">
      <c r="Y2025" s="28"/>
      <c r="Z2025" s="28"/>
      <c r="AK2025" s="28"/>
    </row>
    <row r="2026" spans="25:37" x14ac:dyDescent="0.15">
      <c r="Y2026" s="28"/>
      <c r="Z2026" s="28"/>
      <c r="AK2026" s="28"/>
    </row>
    <row r="2027" spans="25:37" x14ac:dyDescent="0.15">
      <c r="Y2027" s="28"/>
      <c r="Z2027" s="28"/>
      <c r="AK2027" s="28"/>
    </row>
    <row r="2028" spans="25:37" x14ac:dyDescent="0.15">
      <c r="Y2028" s="28"/>
      <c r="Z2028" s="28"/>
      <c r="AK2028" s="28"/>
    </row>
    <row r="2029" spans="25:37" x14ac:dyDescent="0.15">
      <c r="Y2029" s="28"/>
      <c r="Z2029" s="28"/>
      <c r="AK2029" s="28"/>
    </row>
    <row r="2030" spans="25:37" x14ac:dyDescent="0.15">
      <c r="Y2030" s="28"/>
      <c r="Z2030" s="28"/>
      <c r="AK2030" s="28"/>
    </row>
    <row r="2031" spans="25:37" x14ac:dyDescent="0.15">
      <c r="Y2031" s="28"/>
      <c r="Z2031" s="28"/>
      <c r="AK2031" s="28"/>
    </row>
    <row r="2032" spans="25:37" x14ac:dyDescent="0.15">
      <c r="Y2032" s="28"/>
      <c r="Z2032" s="28"/>
      <c r="AK2032" s="28"/>
    </row>
    <row r="2033" spans="25:37" x14ac:dyDescent="0.15">
      <c r="Y2033" s="28"/>
      <c r="Z2033" s="28"/>
      <c r="AK2033" s="28"/>
    </row>
    <row r="2034" spans="25:37" x14ac:dyDescent="0.15">
      <c r="Y2034" s="28"/>
      <c r="Z2034" s="28"/>
      <c r="AK2034" s="28"/>
    </row>
    <row r="2035" spans="25:37" x14ac:dyDescent="0.15">
      <c r="Y2035" s="28"/>
      <c r="Z2035" s="28"/>
      <c r="AK2035" s="28"/>
    </row>
    <row r="2036" spans="25:37" x14ac:dyDescent="0.15">
      <c r="Y2036" s="28"/>
      <c r="Z2036" s="28"/>
      <c r="AK2036" s="28"/>
    </row>
    <row r="2037" spans="25:37" x14ac:dyDescent="0.15">
      <c r="Y2037" s="28"/>
      <c r="Z2037" s="28"/>
      <c r="AK2037" s="28"/>
    </row>
    <row r="2038" spans="25:37" x14ac:dyDescent="0.15">
      <c r="Y2038" s="28"/>
      <c r="Z2038" s="28"/>
      <c r="AK2038" s="28"/>
    </row>
    <row r="2039" spans="25:37" x14ac:dyDescent="0.15">
      <c r="Y2039" s="28"/>
      <c r="Z2039" s="28"/>
      <c r="AK2039" s="28"/>
    </row>
    <row r="2040" spans="25:37" x14ac:dyDescent="0.15">
      <c r="Y2040" s="28"/>
      <c r="Z2040" s="28"/>
      <c r="AK2040" s="28"/>
    </row>
    <row r="2041" spans="25:37" x14ac:dyDescent="0.15">
      <c r="Y2041" s="28"/>
      <c r="Z2041" s="28"/>
      <c r="AK2041" s="28"/>
    </row>
    <row r="2042" spans="25:37" x14ac:dyDescent="0.15">
      <c r="Y2042" s="28"/>
      <c r="Z2042" s="28"/>
      <c r="AK2042" s="28"/>
    </row>
    <row r="2043" spans="25:37" x14ac:dyDescent="0.15">
      <c r="Y2043" s="28"/>
      <c r="Z2043" s="28"/>
      <c r="AK2043" s="28"/>
    </row>
    <row r="2044" spans="25:37" x14ac:dyDescent="0.15">
      <c r="Y2044" s="28"/>
      <c r="Z2044" s="28"/>
      <c r="AK2044" s="28"/>
    </row>
    <row r="2045" spans="25:37" x14ac:dyDescent="0.15">
      <c r="Y2045" s="28"/>
      <c r="Z2045" s="28"/>
      <c r="AK2045" s="28"/>
    </row>
    <row r="2046" spans="25:37" x14ac:dyDescent="0.15">
      <c r="Y2046" s="28"/>
      <c r="Z2046" s="28"/>
      <c r="AK2046" s="28"/>
    </row>
    <row r="2047" spans="25:37" x14ac:dyDescent="0.15">
      <c r="Y2047" s="28"/>
      <c r="Z2047" s="28"/>
      <c r="AK2047" s="28"/>
    </row>
    <row r="2048" spans="25:37" x14ac:dyDescent="0.15">
      <c r="Y2048" s="28"/>
      <c r="Z2048" s="28"/>
      <c r="AK2048" s="28"/>
    </row>
    <row r="2049" spans="25:37" x14ac:dyDescent="0.15">
      <c r="Y2049" s="28"/>
      <c r="Z2049" s="28"/>
      <c r="AK2049" s="28"/>
    </row>
    <row r="2050" spans="25:37" x14ac:dyDescent="0.15">
      <c r="Y2050" s="28"/>
      <c r="Z2050" s="28"/>
      <c r="AK2050" s="28"/>
    </row>
    <row r="2051" spans="25:37" x14ac:dyDescent="0.15">
      <c r="Y2051" s="28"/>
      <c r="Z2051" s="28"/>
      <c r="AK2051" s="28"/>
    </row>
    <row r="2052" spans="25:37" x14ac:dyDescent="0.15">
      <c r="Y2052" s="28"/>
      <c r="Z2052" s="28"/>
      <c r="AK2052" s="28"/>
    </row>
    <row r="2053" spans="25:37" x14ac:dyDescent="0.15">
      <c r="Y2053" s="28"/>
      <c r="Z2053" s="28"/>
      <c r="AK2053" s="28"/>
    </row>
    <row r="2054" spans="25:37" x14ac:dyDescent="0.15">
      <c r="Y2054" s="28"/>
      <c r="Z2054" s="28"/>
      <c r="AK2054" s="28"/>
    </row>
    <row r="2055" spans="25:37" x14ac:dyDescent="0.15">
      <c r="Y2055" s="28"/>
      <c r="Z2055" s="28"/>
      <c r="AK2055" s="28"/>
    </row>
    <row r="2056" spans="25:37" x14ac:dyDescent="0.15">
      <c r="Y2056" s="28"/>
      <c r="Z2056" s="28"/>
      <c r="AK2056" s="28"/>
    </row>
    <row r="2057" spans="25:37" x14ac:dyDescent="0.15">
      <c r="Y2057" s="28"/>
      <c r="Z2057" s="28"/>
      <c r="AK2057" s="28"/>
    </row>
    <row r="2058" spans="25:37" x14ac:dyDescent="0.15">
      <c r="Y2058" s="28"/>
      <c r="Z2058" s="28"/>
      <c r="AK2058" s="28"/>
    </row>
    <row r="2059" spans="25:37" x14ac:dyDescent="0.15">
      <c r="Y2059" s="28"/>
      <c r="Z2059" s="28"/>
      <c r="AK2059" s="28"/>
    </row>
    <row r="2060" spans="25:37" x14ac:dyDescent="0.15">
      <c r="Y2060" s="28"/>
      <c r="Z2060" s="28"/>
      <c r="AK2060" s="28"/>
    </row>
    <row r="2061" spans="25:37" x14ac:dyDescent="0.15">
      <c r="Y2061" s="28"/>
      <c r="Z2061" s="28"/>
      <c r="AK2061" s="28"/>
    </row>
    <row r="2062" spans="25:37" x14ac:dyDescent="0.15">
      <c r="Y2062" s="28"/>
      <c r="Z2062" s="28"/>
      <c r="AK2062" s="28"/>
    </row>
    <row r="2063" spans="25:37" x14ac:dyDescent="0.15">
      <c r="Y2063" s="28"/>
      <c r="Z2063" s="28"/>
      <c r="AK2063" s="28"/>
    </row>
    <row r="2064" spans="25:37" x14ac:dyDescent="0.15">
      <c r="Y2064" s="28"/>
      <c r="Z2064" s="28"/>
      <c r="AK2064" s="28"/>
    </row>
    <row r="2065" spans="25:37" x14ac:dyDescent="0.15">
      <c r="Y2065" s="28"/>
      <c r="Z2065" s="28"/>
      <c r="AK2065" s="28"/>
    </row>
    <row r="2066" spans="25:37" x14ac:dyDescent="0.15">
      <c r="Y2066" s="28"/>
      <c r="Z2066" s="28"/>
      <c r="AK2066" s="28"/>
    </row>
    <row r="2067" spans="25:37" x14ac:dyDescent="0.15">
      <c r="Y2067" s="28"/>
      <c r="Z2067" s="28"/>
      <c r="AK2067" s="28"/>
    </row>
    <row r="2068" spans="25:37" x14ac:dyDescent="0.15">
      <c r="Y2068" s="28"/>
      <c r="Z2068" s="28"/>
      <c r="AK2068" s="28"/>
    </row>
    <row r="2069" spans="25:37" x14ac:dyDescent="0.15">
      <c r="Y2069" s="28"/>
      <c r="Z2069" s="28"/>
      <c r="AK2069" s="28"/>
    </row>
    <row r="2070" spans="25:37" x14ac:dyDescent="0.15">
      <c r="Y2070" s="28"/>
      <c r="Z2070" s="28"/>
      <c r="AK2070" s="28"/>
    </row>
    <row r="2071" spans="25:37" x14ac:dyDescent="0.15">
      <c r="Y2071" s="28"/>
      <c r="Z2071" s="28"/>
      <c r="AK2071" s="28"/>
    </row>
    <row r="2072" spans="25:37" x14ac:dyDescent="0.15">
      <c r="Y2072" s="28"/>
      <c r="Z2072" s="28"/>
      <c r="AK2072" s="28"/>
    </row>
    <row r="2073" spans="25:37" x14ac:dyDescent="0.15">
      <c r="Y2073" s="28"/>
      <c r="Z2073" s="28"/>
      <c r="AK2073" s="28"/>
    </row>
    <row r="2074" spans="25:37" x14ac:dyDescent="0.15">
      <c r="Y2074" s="28"/>
      <c r="Z2074" s="28"/>
      <c r="AK2074" s="28"/>
    </row>
    <row r="2075" spans="25:37" x14ac:dyDescent="0.15">
      <c r="Y2075" s="28"/>
      <c r="Z2075" s="28"/>
      <c r="AK2075" s="28"/>
    </row>
    <row r="2076" spans="25:37" x14ac:dyDescent="0.15">
      <c r="Y2076" s="28"/>
      <c r="Z2076" s="28"/>
      <c r="AK2076" s="28"/>
    </row>
    <row r="2077" spans="25:37" x14ac:dyDescent="0.15">
      <c r="Y2077" s="28"/>
      <c r="Z2077" s="28"/>
      <c r="AK2077" s="28"/>
    </row>
    <row r="2078" spans="25:37" x14ac:dyDescent="0.15">
      <c r="Y2078" s="28"/>
      <c r="Z2078" s="28"/>
      <c r="AK2078" s="28"/>
    </row>
    <row r="2079" spans="25:37" x14ac:dyDescent="0.15">
      <c r="Y2079" s="28"/>
      <c r="Z2079" s="28"/>
      <c r="AK2079" s="28"/>
    </row>
    <row r="2080" spans="25:37" x14ac:dyDescent="0.15">
      <c r="Y2080" s="28"/>
      <c r="Z2080" s="28"/>
      <c r="AK2080" s="28"/>
    </row>
    <row r="2081" spans="25:37" x14ac:dyDescent="0.15">
      <c r="Y2081" s="28"/>
      <c r="Z2081" s="28"/>
      <c r="AK2081" s="28"/>
    </row>
    <row r="2082" spans="25:37" x14ac:dyDescent="0.15">
      <c r="Y2082" s="28"/>
      <c r="Z2082" s="28"/>
      <c r="AK2082" s="28"/>
    </row>
    <row r="2083" spans="25:37" x14ac:dyDescent="0.15">
      <c r="Y2083" s="28"/>
      <c r="Z2083" s="28"/>
      <c r="AK2083" s="28"/>
    </row>
    <row r="2084" spans="25:37" x14ac:dyDescent="0.15">
      <c r="Y2084" s="28"/>
      <c r="Z2084" s="28"/>
      <c r="AK2084" s="28"/>
    </row>
    <row r="2085" spans="25:37" x14ac:dyDescent="0.15">
      <c r="Y2085" s="28"/>
      <c r="Z2085" s="28"/>
      <c r="AK2085" s="28"/>
    </row>
    <row r="2086" spans="25:37" x14ac:dyDescent="0.15">
      <c r="Y2086" s="28"/>
      <c r="Z2086" s="28"/>
      <c r="AK2086" s="28"/>
    </row>
    <row r="2087" spans="25:37" x14ac:dyDescent="0.15">
      <c r="Y2087" s="28"/>
      <c r="Z2087" s="28"/>
      <c r="AK2087" s="28"/>
    </row>
    <row r="2088" spans="25:37" x14ac:dyDescent="0.15">
      <c r="Y2088" s="28"/>
      <c r="Z2088" s="28"/>
      <c r="AK2088" s="28"/>
    </row>
    <row r="2089" spans="25:37" x14ac:dyDescent="0.15">
      <c r="Y2089" s="28"/>
      <c r="Z2089" s="28"/>
      <c r="AK2089" s="28"/>
    </row>
    <row r="2090" spans="25:37" x14ac:dyDescent="0.15">
      <c r="Y2090" s="28"/>
      <c r="Z2090" s="28"/>
      <c r="AK2090" s="28"/>
    </row>
    <row r="2091" spans="25:37" x14ac:dyDescent="0.15">
      <c r="Y2091" s="28"/>
      <c r="Z2091" s="28"/>
      <c r="AK2091" s="28"/>
    </row>
    <row r="2092" spans="25:37" x14ac:dyDescent="0.15">
      <c r="Y2092" s="28"/>
      <c r="Z2092" s="28"/>
      <c r="AK2092" s="28"/>
    </row>
    <row r="2093" spans="25:37" x14ac:dyDescent="0.15">
      <c r="Y2093" s="28"/>
      <c r="Z2093" s="28"/>
      <c r="AK2093" s="28"/>
    </row>
    <row r="2094" spans="25:37" x14ac:dyDescent="0.15">
      <c r="Y2094" s="28"/>
      <c r="Z2094" s="28"/>
      <c r="AK2094" s="28"/>
    </row>
    <row r="2095" spans="25:37" x14ac:dyDescent="0.15">
      <c r="Y2095" s="28"/>
      <c r="Z2095" s="28"/>
      <c r="AK2095" s="28"/>
    </row>
    <row r="2096" spans="25:37" x14ac:dyDescent="0.15">
      <c r="Y2096" s="28"/>
      <c r="Z2096" s="28"/>
      <c r="AK2096" s="28"/>
    </row>
    <row r="2097" spans="25:37" x14ac:dyDescent="0.15">
      <c r="Y2097" s="28"/>
      <c r="Z2097" s="28"/>
      <c r="AK2097" s="28"/>
    </row>
    <row r="2098" spans="25:37" x14ac:dyDescent="0.15">
      <c r="Y2098" s="28"/>
      <c r="Z2098" s="28"/>
      <c r="AK2098" s="28"/>
    </row>
    <row r="2099" spans="25:37" x14ac:dyDescent="0.15">
      <c r="Y2099" s="28"/>
      <c r="Z2099" s="28"/>
      <c r="AK2099" s="28"/>
    </row>
    <row r="2100" spans="25:37" x14ac:dyDescent="0.15">
      <c r="Y2100" s="28"/>
      <c r="Z2100" s="28"/>
      <c r="AK2100" s="28"/>
    </row>
    <row r="2101" spans="25:37" x14ac:dyDescent="0.15">
      <c r="Y2101" s="28"/>
      <c r="Z2101" s="28"/>
      <c r="AK2101" s="28"/>
    </row>
    <row r="2102" spans="25:37" x14ac:dyDescent="0.15">
      <c r="Y2102" s="28"/>
      <c r="Z2102" s="28"/>
      <c r="AK2102" s="28"/>
    </row>
    <row r="2103" spans="25:37" x14ac:dyDescent="0.15">
      <c r="Y2103" s="28"/>
      <c r="Z2103" s="28"/>
      <c r="AK2103" s="28"/>
    </row>
    <row r="2104" spans="25:37" x14ac:dyDescent="0.15">
      <c r="Y2104" s="28"/>
      <c r="Z2104" s="28"/>
      <c r="AK2104" s="28"/>
    </row>
    <row r="2105" spans="25:37" x14ac:dyDescent="0.15">
      <c r="Y2105" s="28"/>
      <c r="Z2105" s="28"/>
      <c r="AK2105" s="28"/>
    </row>
    <row r="2106" spans="25:37" x14ac:dyDescent="0.15">
      <c r="Y2106" s="28"/>
      <c r="Z2106" s="28"/>
      <c r="AK2106" s="28"/>
    </row>
    <row r="2107" spans="25:37" x14ac:dyDescent="0.15">
      <c r="Y2107" s="28"/>
      <c r="Z2107" s="28"/>
      <c r="AK2107" s="28"/>
    </row>
    <row r="2108" spans="25:37" x14ac:dyDescent="0.15">
      <c r="Y2108" s="28"/>
      <c r="Z2108" s="28"/>
      <c r="AK2108" s="28"/>
    </row>
    <row r="2109" spans="25:37" x14ac:dyDescent="0.15">
      <c r="Y2109" s="28"/>
      <c r="Z2109" s="28"/>
      <c r="AK2109" s="28"/>
    </row>
    <row r="2110" spans="25:37" x14ac:dyDescent="0.15">
      <c r="Y2110" s="28"/>
      <c r="Z2110" s="28"/>
      <c r="AK2110" s="28"/>
    </row>
    <row r="2111" spans="25:37" x14ac:dyDescent="0.15">
      <c r="Y2111" s="28"/>
      <c r="Z2111" s="28"/>
      <c r="AK2111" s="28"/>
    </row>
    <row r="2112" spans="25:37" x14ac:dyDescent="0.15">
      <c r="Y2112" s="28"/>
      <c r="Z2112" s="28"/>
      <c r="AK2112" s="28"/>
    </row>
    <row r="2113" spans="25:37" x14ac:dyDescent="0.15">
      <c r="Y2113" s="28"/>
      <c r="Z2113" s="28"/>
      <c r="AK2113" s="28"/>
    </row>
    <row r="2114" spans="25:37" x14ac:dyDescent="0.15">
      <c r="Y2114" s="28"/>
      <c r="Z2114" s="28"/>
      <c r="AK2114" s="28"/>
    </row>
    <row r="2115" spans="25:37" x14ac:dyDescent="0.15">
      <c r="Y2115" s="28"/>
      <c r="Z2115" s="28"/>
      <c r="AK2115" s="28"/>
    </row>
    <row r="2116" spans="25:37" x14ac:dyDescent="0.15">
      <c r="Y2116" s="28"/>
      <c r="Z2116" s="28"/>
      <c r="AK2116" s="28"/>
    </row>
    <row r="2117" spans="25:37" x14ac:dyDescent="0.15">
      <c r="Y2117" s="28"/>
      <c r="Z2117" s="28"/>
      <c r="AK2117" s="28"/>
    </row>
    <row r="2118" spans="25:37" x14ac:dyDescent="0.15">
      <c r="Y2118" s="28"/>
      <c r="Z2118" s="28"/>
      <c r="AK2118" s="28"/>
    </row>
    <row r="2119" spans="25:37" x14ac:dyDescent="0.15">
      <c r="Y2119" s="28"/>
      <c r="Z2119" s="28"/>
      <c r="AK2119" s="28"/>
    </row>
    <row r="2120" spans="25:37" x14ac:dyDescent="0.15">
      <c r="Y2120" s="28"/>
      <c r="Z2120" s="28"/>
      <c r="AK2120" s="28"/>
    </row>
    <row r="2121" spans="25:37" x14ac:dyDescent="0.15">
      <c r="Y2121" s="28"/>
      <c r="Z2121" s="28"/>
      <c r="AK2121" s="28"/>
    </row>
    <row r="2122" spans="25:37" x14ac:dyDescent="0.15">
      <c r="Y2122" s="28"/>
      <c r="Z2122" s="28"/>
      <c r="AK2122" s="28"/>
    </row>
    <row r="2123" spans="25:37" x14ac:dyDescent="0.15">
      <c r="Y2123" s="28"/>
      <c r="Z2123" s="28"/>
      <c r="AK2123" s="28"/>
    </row>
    <row r="2124" spans="25:37" x14ac:dyDescent="0.15">
      <c r="Y2124" s="28"/>
      <c r="Z2124" s="28"/>
      <c r="AK2124" s="28"/>
    </row>
    <row r="2125" spans="25:37" x14ac:dyDescent="0.15">
      <c r="Y2125" s="28"/>
      <c r="Z2125" s="28"/>
      <c r="AK2125" s="28"/>
    </row>
    <row r="2126" spans="25:37" x14ac:dyDescent="0.15">
      <c r="Y2126" s="28"/>
      <c r="Z2126" s="28"/>
      <c r="AK2126" s="28"/>
    </row>
    <row r="2127" spans="25:37" x14ac:dyDescent="0.15">
      <c r="Y2127" s="28"/>
      <c r="Z2127" s="28"/>
      <c r="AK2127" s="28"/>
    </row>
    <row r="2128" spans="25:37" x14ac:dyDescent="0.15">
      <c r="Y2128" s="28"/>
      <c r="Z2128" s="28"/>
      <c r="AK2128" s="28"/>
    </row>
    <row r="2129" spans="25:37" x14ac:dyDescent="0.15">
      <c r="Y2129" s="28"/>
      <c r="Z2129" s="28"/>
      <c r="AK2129" s="28"/>
    </row>
    <row r="2130" spans="25:37" x14ac:dyDescent="0.15">
      <c r="Y2130" s="28"/>
      <c r="Z2130" s="28"/>
      <c r="AK2130" s="28"/>
    </row>
    <row r="2131" spans="25:37" x14ac:dyDescent="0.15">
      <c r="Y2131" s="28"/>
      <c r="Z2131" s="28"/>
      <c r="AK2131" s="28"/>
    </row>
    <row r="2132" spans="25:37" x14ac:dyDescent="0.15">
      <c r="Y2132" s="28"/>
      <c r="Z2132" s="28"/>
      <c r="AK2132" s="28"/>
    </row>
    <row r="2133" spans="25:37" x14ac:dyDescent="0.15">
      <c r="Y2133" s="28"/>
      <c r="Z2133" s="28"/>
      <c r="AK2133" s="28"/>
    </row>
    <row r="2134" spans="25:37" x14ac:dyDescent="0.15">
      <c r="Y2134" s="28"/>
      <c r="Z2134" s="28"/>
      <c r="AK2134" s="28"/>
    </row>
    <row r="2135" spans="25:37" x14ac:dyDescent="0.15">
      <c r="Y2135" s="28"/>
      <c r="Z2135" s="28"/>
      <c r="AK2135" s="28"/>
    </row>
    <row r="2136" spans="25:37" x14ac:dyDescent="0.15">
      <c r="Y2136" s="28"/>
      <c r="Z2136" s="28"/>
      <c r="AK2136" s="28"/>
    </row>
    <row r="2137" spans="25:37" x14ac:dyDescent="0.15">
      <c r="Y2137" s="28"/>
      <c r="Z2137" s="28"/>
      <c r="AK2137" s="28"/>
    </row>
    <row r="2138" spans="25:37" x14ac:dyDescent="0.15">
      <c r="Y2138" s="28"/>
      <c r="Z2138" s="28"/>
      <c r="AK2138" s="28"/>
    </row>
    <row r="2139" spans="25:37" x14ac:dyDescent="0.15">
      <c r="Y2139" s="28"/>
      <c r="Z2139" s="28"/>
      <c r="AK2139" s="28"/>
    </row>
    <row r="2140" spans="25:37" x14ac:dyDescent="0.15">
      <c r="Y2140" s="28"/>
      <c r="Z2140" s="28"/>
      <c r="AK2140" s="28"/>
    </row>
    <row r="2141" spans="25:37" x14ac:dyDescent="0.15">
      <c r="Y2141" s="28"/>
      <c r="Z2141" s="28"/>
      <c r="AK2141" s="28"/>
    </row>
    <row r="2142" spans="25:37" x14ac:dyDescent="0.15">
      <c r="Y2142" s="28"/>
      <c r="Z2142" s="28"/>
      <c r="AK2142" s="28"/>
    </row>
    <row r="2143" spans="25:37" x14ac:dyDescent="0.15">
      <c r="Y2143" s="28"/>
      <c r="Z2143" s="28"/>
      <c r="AK2143" s="28"/>
    </row>
    <row r="2144" spans="25:37" x14ac:dyDescent="0.15">
      <c r="Y2144" s="28"/>
      <c r="Z2144" s="28"/>
      <c r="AK2144" s="28"/>
    </row>
    <row r="2145" spans="25:37" x14ac:dyDescent="0.15">
      <c r="Y2145" s="28"/>
      <c r="Z2145" s="28"/>
      <c r="AK2145" s="28"/>
    </row>
    <row r="2146" spans="25:37" x14ac:dyDescent="0.15">
      <c r="Y2146" s="28"/>
      <c r="Z2146" s="28"/>
      <c r="AK2146" s="28"/>
    </row>
    <row r="2147" spans="25:37" x14ac:dyDescent="0.15">
      <c r="Y2147" s="28"/>
      <c r="Z2147" s="28"/>
      <c r="AK2147" s="28"/>
    </row>
    <row r="2148" spans="25:37" x14ac:dyDescent="0.15">
      <c r="Y2148" s="28"/>
      <c r="Z2148" s="28"/>
      <c r="AK2148" s="28"/>
    </row>
    <row r="2149" spans="25:37" x14ac:dyDescent="0.15">
      <c r="Y2149" s="28"/>
      <c r="Z2149" s="28"/>
      <c r="AK2149" s="28"/>
    </row>
    <row r="2150" spans="25:37" x14ac:dyDescent="0.15">
      <c r="Y2150" s="28"/>
      <c r="Z2150" s="28"/>
      <c r="AK2150" s="28"/>
    </row>
    <row r="2151" spans="25:37" x14ac:dyDescent="0.15">
      <c r="Y2151" s="28"/>
      <c r="Z2151" s="28"/>
      <c r="AK2151" s="28"/>
    </row>
    <row r="2152" spans="25:37" x14ac:dyDescent="0.15">
      <c r="Y2152" s="28"/>
      <c r="Z2152" s="28"/>
      <c r="AK2152" s="28"/>
    </row>
    <row r="2153" spans="25:37" x14ac:dyDescent="0.15">
      <c r="Y2153" s="28"/>
      <c r="Z2153" s="28"/>
      <c r="AK2153" s="28"/>
    </row>
    <row r="2154" spans="25:37" x14ac:dyDescent="0.15">
      <c r="Y2154" s="28"/>
      <c r="Z2154" s="28"/>
      <c r="AK2154" s="28"/>
    </row>
    <row r="2155" spans="25:37" x14ac:dyDescent="0.15">
      <c r="Y2155" s="28"/>
      <c r="Z2155" s="28"/>
      <c r="AK2155" s="28"/>
    </row>
    <row r="2156" spans="25:37" x14ac:dyDescent="0.15">
      <c r="Y2156" s="28"/>
      <c r="Z2156" s="28"/>
      <c r="AK2156" s="28"/>
    </row>
    <row r="2157" spans="25:37" x14ac:dyDescent="0.15">
      <c r="Y2157" s="28"/>
      <c r="Z2157" s="28"/>
      <c r="AK2157" s="28"/>
    </row>
    <row r="2158" spans="25:37" x14ac:dyDescent="0.15">
      <c r="Y2158" s="28"/>
      <c r="Z2158" s="28"/>
      <c r="AK2158" s="28"/>
    </row>
    <row r="2159" spans="25:37" x14ac:dyDescent="0.15">
      <c r="Y2159" s="28"/>
      <c r="Z2159" s="28"/>
      <c r="AK2159" s="28"/>
    </row>
    <row r="2160" spans="25:37" x14ac:dyDescent="0.15">
      <c r="Y2160" s="28"/>
      <c r="Z2160" s="28"/>
      <c r="AK2160" s="28"/>
    </row>
    <row r="2161" spans="25:37" x14ac:dyDescent="0.15">
      <c r="Y2161" s="28"/>
      <c r="Z2161" s="28"/>
      <c r="AK2161" s="28"/>
    </row>
    <row r="2162" spans="25:37" x14ac:dyDescent="0.15">
      <c r="Y2162" s="28"/>
      <c r="Z2162" s="28"/>
      <c r="AK2162" s="28"/>
    </row>
    <row r="2163" spans="25:37" x14ac:dyDescent="0.15">
      <c r="Y2163" s="28"/>
      <c r="Z2163" s="28"/>
      <c r="AK2163" s="28"/>
    </row>
    <row r="2164" spans="25:37" x14ac:dyDescent="0.15">
      <c r="Y2164" s="28"/>
      <c r="Z2164" s="28"/>
      <c r="AK2164" s="28"/>
    </row>
    <row r="2165" spans="25:37" x14ac:dyDescent="0.15">
      <c r="Y2165" s="28"/>
      <c r="Z2165" s="28"/>
      <c r="AK2165" s="28"/>
    </row>
    <row r="2166" spans="25:37" x14ac:dyDescent="0.15">
      <c r="Y2166" s="28"/>
      <c r="Z2166" s="28"/>
      <c r="AK2166" s="28"/>
    </row>
    <row r="2167" spans="25:37" x14ac:dyDescent="0.15">
      <c r="Y2167" s="28"/>
      <c r="Z2167" s="28"/>
      <c r="AK2167" s="28"/>
    </row>
    <row r="2168" spans="25:37" x14ac:dyDescent="0.15">
      <c r="Y2168" s="28"/>
      <c r="Z2168" s="28"/>
      <c r="AK2168" s="28"/>
    </row>
    <row r="2169" spans="25:37" x14ac:dyDescent="0.15">
      <c r="Y2169" s="28"/>
      <c r="Z2169" s="28"/>
      <c r="AK2169" s="28"/>
    </row>
    <row r="2170" spans="25:37" x14ac:dyDescent="0.15">
      <c r="Y2170" s="28"/>
      <c r="Z2170" s="28"/>
      <c r="AK2170" s="28"/>
    </row>
    <row r="2171" spans="25:37" x14ac:dyDescent="0.15">
      <c r="Y2171" s="28"/>
      <c r="Z2171" s="28"/>
      <c r="AK2171" s="28"/>
    </row>
    <row r="2172" spans="25:37" x14ac:dyDescent="0.15">
      <c r="Y2172" s="28"/>
      <c r="Z2172" s="28"/>
      <c r="AK2172" s="28"/>
    </row>
    <row r="2173" spans="25:37" x14ac:dyDescent="0.15">
      <c r="Y2173" s="28"/>
      <c r="Z2173" s="28"/>
      <c r="AK2173" s="28"/>
    </row>
    <row r="2174" spans="25:37" x14ac:dyDescent="0.15">
      <c r="Y2174" s="28"/>
      <c r="Z2174" s="28"/>
      <c r="AK2174" s="28"/>
    </row>
    <row r="2175" spans="25:37" x14ac:dyDescent="0.15">
      <c r="Y2175" s="28"/>
      <c r="Z2175" s="28"/>
      <c r="AK2175" s="28"/>
    </row>
    <row r="2176" spans="25:37" x14ac:dyDescent="0.15">
      <c r="Y2176" s="28"/>
      <c r="Z2176" s="28"/>
      <c r="AK2176" s="28"/>
    </row>
    <row r="2177" spans="25:37" x14ac:dyDescent="0.15">
      <c r="Y2177" s="28"/>
      <c r="Z2177" s="28"/>
      <c r="AK2177" s="28"/>
    </row>
    <row r="2178" spans="25:37" x14ac:dyDescent="0.15">
      <c r="Y2178" s="28"/>
      <c r="Z2178" s="28"/>
      <c r="AK2178" s="28"/>
    </row>
    <row r="2179" spans="25:37" x14ac:dyDescent="0.15">
      <c r="Y2179" s="28"/>
      <c r="Z2179" s="28"/>
      <c r="AK2179" s="28"/>
    </row>
    <row r="2180" spans="25:37" x14ac:dyDescent="0.15">
      <c r="Y2180" s="28"/>
      <c r="Z2180" s="28"/>
      <c r="AK2180" s="28"/>
    </row>
    <row r="2181" spans="25:37" x14ac:dyDescent="0.15">
      <c r="Y2181" s="28"/>
      <c r="Z2181" s="28"/>
      <c r="AK2181" s="28"/>
    </row>
    <row r="2182" spans="25:37" x14ac:dyDescent="0.15">
      <c r="Y2182" s="28"/>
      <c r="Z2182" s="28"/>
      <c r="AK2182" s="28"/>
    </row>
    <row r="2183" spans="25:37" x14ac:dyDescent="0.15">
      <c r="Y2183" s="28"/>
      <c r="Z2183" s="28"/>
      <c r="AK2183" s="28"/>
    </row>
    <row r="2184" spans="25:37" x14ac:dyDescent="0.15">
      <c r="Y2184" s="28"/>
      <c r="Z2184" s="28"/>
      <c r="AK2184" s="28"/>
    </row>
    <row r="2185" spans="25:37" x14ac:dyDescent="0.15">
      <c r="Y2185" s="28"/>
      <c r="Z2185" s="28"/>
      <c r="AK2185" s="28"/>
    </row>
    <row r="2186" spans="25:37" x14ac:dyDescent="0.15">
      <c r="Y2186" s="28"/>
      <c r="Z2186" s="28"/>
      <c r="AK2186" s="28"/>
    </row>
    <row r="2187" spans="25:37" x14ac:dyDescent="0.15">
      <c r="Y2187" s="28"/>
      <c r="Z2187" s="28"/>
      <c r="AK2187" s="28"/>
    </row>
    <row r="2188" spans="25:37" x14ac:dyDescent="0.15">
      <c r="Y2188" s="28"/>
      <c r="Z2188" s="28"/>
      <c r="AK2188" s="28"/>
    </row>
    <row r="2189" spans="25:37" x14ac:dyDescent="0.15">
      <c r="Y2189" s="28"/>
      <c r="Z2189" s="28"/>
      <c r="AK2189" s="28"/>
    </row>
    <row r="2190" spans="25:37" x14ac:dyDescent="0.15">
      <c r="Y2190" s="28"/>
      <c r="Z2190" s="28"/>
      <c r="AK2190" s="28"/>
    </row>
    <row r="2191" spans="25:37" x14ac:dyDescent="0.15">
      <c r="Y2191" s="28"/>
      <c r="Z2191" s="28"/>
      <c r="AK2191" s="28"/>
    </row>
    <row r="2192" spans="25:37" x14ac:dyDescent="0.15">
      <c r="Y2192" s="28"/>
      <c r="Z2192" s="28"/>
      <c r="AK2192" s="28"/>
    </row>
    <row r="2193" spans="25:37" x14ac:dyDescent="0.15">
      <c r="Y2193" s="28"/>
      <c r="Z2193" s="28"/>
      <c r="AK2193" s="28"/>
    </row>
    <row r="2194" spans="25:37" x14ac:dyDescent="0.15">
      <c r="Y2194" s="28"/>
      <c r="Z2194" s="28"/>
      <c r="AK2194" s="28"/>
    </row>
    <row r="2195" spans="25:37" x14ac:dyDescent="0.15">
      <c r="Y2195" s="28"/>
      <c r="Z2195" s="28"/>
      <c r="AK2195" s="28"/>
    </row>
    <row r="2196" spans="25:37" x14ac:dyDescent="0.15">
      <c r="Y2196" s="28"/>
      <c r="Z2196" s="28"/>
      <c r="AK2196" s="28"/>
    </row>
    <row r="2197" spans="25:37" x14ac:dyDescent="0.15">
      <c r="Y2197" s="28"/>
      <c r="Z2197" s="28"/>
      <c r="AK2197" s="28"/>
    </row>
    <row r="2198" spans="25:37" x14ac:dyDescent="0.15">
      <c r="Y2198" s="28"/>
      <c r="Z2198" s="28"/>
      <c r="AK2198" s="28"/>
    </row>
    <row r="2199" spans="25:37" x14ac:dyDescent="0.15">
      <c r="Y2199" s="28"/>
      <c r="Z2199" s="28"/>
      <c r="AK2199" s="28"/>
    </row>
    <row r="2200" spans="25:37" x14ac:dyDescent="0.15">
      <c r="Y2200" s="28"/>
      <c r="Z2200" s="28"/>
      <c r="AK2200" s="28"/>
    </row>
    <row r="2201" spans="25:37" x14ac:dyDescent="0.15">
      <c r="Y2201" s="28"/>
      <c r="Z2201" s="28"/>
      <c r="AK2201" s="28"/>
    </row>
    <row r="2202" spans="25:37" x14ac:dyDescent="0.15">
      <c r="Y2202" s="28"/>
      <c r="Z2202" s="28"/>
      <c r="AK2202" s="28"/>
    </row>
    <row r="2203" spans="25:37" x14ac:dyDescent="0.15">
      <c r="Y2203" s="28"/>
      <c r="Z2203" s="28"/>
      <c r="AK2203" s="28"/>
    </row>
    <row r="2204" spans="25:37" x14ac:dyDescent="0.15">
      <c r="Y2204" s="28"/>
      <c r="Z2204" s="28"/>
      <c r="AK2204" s="28"/>
    </row>
    <row r="2205" spans="25:37" x14ac:dyDescent="0.15">
      <c r="Y2205" s="28"/>
      <c r="Z2205" s="28"/>
      <c r="AK2205" s="28"/>
    </row>
    <row r="2206" spans="25:37" x14ac:dyDescent="0.15">
      <c r="Y2206" s="28"/>
      <c r="Z2206" s="28"/>
      <c r="AK2206" s="28"/>
    </row>
    <row r="2207" spans="25:37" x14ac:dyDescent="0.15">
      <c r="Y2207" s="28"/>
      <c r="Z2207" s="28"/>
      <c r="AK2207" s="28"/>
    </row>
    <row r="2208" spans="25:37" x14ac:dyDescent="0.15">
      <c r="Y2208" s="28"/>
      <c r="Z2208" s="28"/>
      <c r="AK2208" s="28"/>
    </row>
    <row r="2209" spans="25:37" x14ac:dyDescent="0.15">
      <c r="Y2209" s="28"/>
      <c r="Z2209" s="28"/>
      <c r="AK2209" s="28"/>
    </row>
    <row r="2210" spans="25:37" x14ac:dyDescent="0.15">
      <c r="Y2210" s="28"/>
      <c r="Z2210" s="28"/>
      <c r="AK2210" s="28"/>
    </row>
    <row r="2211" spans="25:37" x14ac:dyDescent="0.15">
      <c r="Y2211" s="28"/>
      <c r="Z2211" s="28"/>
      <c r="AK2211" s="28"/>
    </row>
    <row r="2212" spans="25:37" x14ac:dyDescent="0.15">
      <c r="Y2212" s="28"/>
      <c r="Z2212" s="28"/>
      <c r="AK2212" s="28"/>
    </row>
    <row r="2213" spans="25:37" x14ac:dyDescent="0.15">
      <c r="Y2213" s="28"/>
      <c r="Z2213" s="28"/>
      <c r="AK2213" s="28"/>
    </row>
    <row r="2214" spans="25:37" x14ac:dyDescent="0.15">
      <c r="Y2214" s="28"/>
      <c r="Z2214" s="28"/>
      <c r="AK2214" s="28"/>
    </row>
    <row r="2215" spans="25:37" x14ac:dyDescent="0.15">
      <c r="Y2215" s="28"/>
      <c r="Z2215" s="28"/>
      <c r="AK2215" s="28"/>
    </row>
    <row r="2216" spans="25:37" x14ac:dyDescent="0.15">
      <c r="Y2216" s="28"/>
      <c r="Z2216" s="28"/>
      <c r="AK2216" s="28"/>
    </row>
    <row r="2217" spans="25:37" x14ac:dyDescent="0.15">
      <c r="Y2217" s="28"/>
      <c r="Z2217" s="28"/>
      <c r="AK2217" s="28"/>
    </row>
    <row r="2218" spans="25:37" x14ac:dyDescent="0.15">
      <c r="Y2218" s="28"/>
      <c r="Z2218" s="28"/>
      <c r="AK2218" s="28"/>
    </row>
    <row r="2219" spans="25:37" x14ac:dyDescent="0.15">
      <c r="Y2219" s="28"/>
      <c r="Z2219" s="28"/>
      <c r="AK2219" s="28"/>
    </row>
    <row r="2220" spans="25:37" x14ac:dyDescent="0.15">
      <c r="Y2220" s="28"/>
      <c r="Z2220" s="28"/>
      <c r="AK2220" s="28"/>
    </row>
    <row r="2221" spans="25:37" x14ac:dyDescent="0.15">
      <c r="Y2221" s="28"/>
      <c r="Z2221" s="28"/>
      <c r="AK2221" s="28"/>
    </row>
    <row r="2222" spans="25:37" x14ac:dyDescent="0.15">
      <c r="Y2222" s="28"/>
      <c r="Z2222" s="28"/>
      <c r="AK2222" s="28"/>
    </row>
    <row r="2223" spans="25:37" x14ac:dyDescent="0.15">
      <c r="Y2223" s="28"/>
      <c r="Z2223" s="28"/>
      <c r="AK2223" s="28"/>
    </row>
    <row r="2224" spans="25:37" x14ac:dyDescent="0.15">
      <c r="Y2224" s="28"/>
      <c r="Z2224" s="28"/>
      <c r="AK2224" s="28"/>
    </row>
    <row r="2225" spans="25:37" x14ac:dyDescent="0.15">
      <c r="Y2225" s="28"/>
      <c r="Z2225" s="28"/>
      <c r="AK2225" s="28"/>
    </row>
    <row r="2226" spans="25:37" x14ac:dyDescent="0.15">
      <c r="Y2226" s="28"/>
      <c r="Z2226" s="28"/>
      <c r="AK2226" s="28"/>
    </row>
    <row r="2227" spans="25:37" x14ac:dyDescent="0.15">
      <c r="Y2227" s="28"/>
      <c r="Z2227" s="28"/>
      <c r="AK2227" s="28"/>
    </row>
    <row r="2228" spans="25:37" x14ac:dyDescent="0.15">
      <c r="Y2228" s="28"/>
      <c r="Z2228" s="28"/>
      <c r="AK2228" s="28"/>
    </row>
    <row r="2229" spans="25:37" x14ac:dyDescent="0.15">
      <c r="Y2229" s="28"/>
      <c r="Z2229" s="28"/>
      <c r="AK2229" s="28"/>
    </row>
    <row r="2230" spans="25:37" x14ac:dyDescent="0.15">
      <c r="Y2230" s="28"/>
      <c r="Z2230" s="28"/>
      <c r="AK2230" s="28"/>
    </row>
    <row r="2231" spans="25:37" x14ac:dyDescent="0.15">
      <c r="Y2231" s="28"/>
      <c r="Z2231" s="28"/>
      <c r="AK2231" s="28"/>
    </row>
    <row r="2232" spans="25:37" x14ac:dyDescent="0.15">
      <c r="Y2232" s="28"/>
      <c r="Z2232" s="28"/>
      <c r="AK2232" s="28"/>
    </row>
    <row r="2233" spans="25:37" x14ac:dyDescent="0.15">
      <c r="Y2233" s="28"/>
      <c r="Z2233" s="28"/>
      <c r="AK2233" s="28"/>
    </row>
    <row r="2234" spans="25:37" x14ac:dyDescent="0.15">
      <c r="Y2234" s="28"/>
      <c r="Z2234" s="28"/>
      <c r="AK2234" s="28"/>
    </row>
    <row r="2235" spans="25:37" x14ac:dyDescent="0.15">
      <c r="Y2235" s="28"/>
      <c r="Z2235" s="28"/>
      <c r="AK2235" s="28"/>
    </row>
    <row r="2236" spans="25:37" x14ac:dyDescent="0.15">
      <c r="Y2236" s="28"/>
      <c r="Z2236" s="28"/>
      <c r="AK2236" s="28"/>
    </row>
    <row r="2237" spans="25:37" x14ac:dyDescent="0.15">
      <c r="Y2237" s="28"/>
      <c r="Z2237" s="28"/>
      <c r="AK2237" s="28"/>
    </row>
    <row r="2238" spans="25:37" x14ac:dyDescent="0.15">
      <c r="Y2238" s="28"/>
      <c r="Z2238" s="28"/>
      <c r="AK2238" s="28"/>
    </row>
    <row r="2239" spans="25:37" x14ac:dyDescent="0.15">
      <c r="Y2239" s="28"/>
      <c r="Z2239" s="28"/>
      <c r="AK2239" s="28"/>
    </row>
    <row r="2240" spans="25:37" x14ac:dyDescent="0.15">
      <c r="Y2240" s="28"/>
      <c r="Z2240" s="28"/>
      <c r="AK2240" s="28"/>
    </row>
    <row r="2241" spans="25:37" x14ac:dyDescent="0.15">
      <c r="Y2241" s="28"/>
      <c r="Z2241" s="28"/>
      <c r="AK2241" s="28"/>
    </row>
    <row r="2242" spans="25:37" x14ac:dyDescent="0.15">
      <c r="Y2242" s="28"/>
      <c r="Z2242" s="28"/>
      <c r="AK2242" s="28"/>
    </row>
    <row r="2243" spans="25:37" x14ac:dyDescent="0.15">
      <c r="Y2243" s="28"/>
      <c r="Z2243" s="28"/>
      <c r="AK2243" s="28"/>
    </row>
    <row r="2244" spans="25:37" x14ac:dyDescent="0.15">
      <c r="Y2244" s="28"/>
      <c r="Z2244" s="28"/>
      <c r="AK2244" s="28"/>
    </row>
    <row r="2245" spans="25:37" x14ac:dyDescent="0.15">
      <c r="Y2245" s="28"/>
      <c r="Z2245" s="28"/>
      <c r="AK2245" s="28"/>
    </row>
    <row r="2246" spans="25:37" x14ac:dyDescent="0.15">
      <c r="Y2246" s="28"/>
      <c r="Z2246" s="28"/>
      <c r="AK2246" s="28"/>
    </row>
    <row r="2247" spans="25:37" x14ac:dyDescent="0.15">
      <c r="Y2247" s="28"/>
      <c r="Z2247" s="28"/>
      <c r="AK2247" s="28"/>
    </row>
    <row r="2248" spans="25:37" x14ac:dyDescent="0.15">
      <c r="Y2248" s="28"/>
      <c r="Z2248" s="28"/>
      <c r="AK2248" s="28"/>
    </row>
    <row r="2249" spans="25:37" x14ac:dyDescent="0.15">
      <c r="Y2249" s="28"/>
      <c r="Z2249" s="28"/>
      <c r="AK2249" s="28"/>
    </row>
    <row r="2250" spans="25:37" x14ac:dyDescent="0.15">
      <c r="Y2250" s="28"/>
      <c r="Z2250" s="28"/>
      <c r="AK2250" s="28"/>
    </row>
    <row r="2251" spans="25:37" x14ac:dyDescent="0.15">
      <c r="Y2251" s="28"/>
      <c r="Z2251" s="28"/>
      <c r="AK2251" s="28"/>
    </row>
    <row r="2252" spans="25:37" x14ac:dyDescent="0.15">
      <c r="Y2252" s="28"/>
      <c r="Z2252" s="28"/>
      <c r="AK2252" s="28"/>
    </row>
    <row r="2253" spans="25:37" x14ac:dyDescent="0.15">
      <c r="Y2253" s="28"/>
      <c r="Z2253" s="28"/>
      <c r="AK2253" s="28"/>
    </row>
    <row r="2254" spans="25:37" x14ac:dyDescent="0.15">
      <c r="Y2254" s="28"/>
      <c r="Z2254" s="28"/>
      <c r="AK2254" s="28"/>
    </row>
    <row r="2255" spans="25:37" x14ac:dyDescent="0.15">
      <c r="Y2255" s="28"/>
      <c r="Z2255" s="28"/>
      <c r="AK2255" s="28"/>
    </row>
    <row r="2256" spans="25:37" x14ac:dyDescent="0.15">
      <c r="Y2256" s="28"/>
      <c r="Z2256" s="28"/>
      <c r="AK2256" s="28"/>
    </row>
    <row r="2257" spans="25:37" x14ac:dyDescent="0.15">
      <c r="Y2257" s="28"/>
      <c r="Z2257" s="28"/>
      <c r="AK2257" s="28"/>
    </row>
    <row r="2258" spans="25:37" x14ac:dyDescent="0.15">
      <c r="Y2258" s="28"/>
      <c r="Z2258" s="28"/>
      <c r="AK2258" s="28"/>
    </row>
    <row r="2259" spans="25:37" x14ac:dyDescent="0.15">
      <c r="Y2259" s="28"/>
      <c r="Z2259" s="28"/>
      <c r="AK2259" s="28"/>
    </row>
    <row r="2260" spans="25:37" x14ac:dyDescent="0.15">
      <c r="Y2260" s="28"/>
      <c r="Z2260" s="28"/>
      <c r="AK2260" s="28"/>
    </row>
    <row r="2261" spans="25:37" x14ac:dyDescent="0.15">
      <c r="Y2261" s="28"/>
      <c r="Z2261" s="28"/>
      <c r="AK2261" s="28"/>
    </row>
    <row r="2262" spans="25:37" x14ac:dyDescent="0.15">
      <c r="Y2262" s="28"/>
      <c r="Z2262" s="28"/>
      <c r="AK2262" s="28"/>
    </row>
    <row r="2263" spans="25:37" x14ac:dyDescent="0.15">
      <c r="Y2263" s="28"/>
      <c r="Z2263" s="28"/>
      <c r="AK2263" s="28"/>
    </row>
    <row r="2264" spans="25:37" x14ac:dyDescent="0.15">
      <c r="Y2264" s="28"/>
      <c r="Z2264" s="28"/>
      <c r="AK2264" s="28"/>
    </row>
    <row r="2265" spans="25:37" x14ac:dyDescent="0.15">
      <c r="Y2265" s="28"/>
      <c r="Z2265" s="28"/>
      <c r="AK2265" s="28"/>
    </row>
    <row r="2266" spans="25:37" x14ac:dyDescent="0.15">
      <c r="Y2266" s="28"/>
      <c r="Z2266" s="28"/>
      <c r="AK2266" s="28"/>
    </row>
    <row r="2267" spans="25:37" x14ac:dyDescent="0.15">
      <c r="Y2267" s="28"/>
      <c r="Z2267" s="28"/>
      <c r="AK2267" s="28"/>
    </row>
    <row r="2268" spans="25:37" x14ac:dyDescent="0.15">
      <c r="Y2268" s="28"/>
      <c r="Z2268" s="28"/>
      <c r="AK2268" s="28"/>
    </row>
    <row r="2269" spans="25:37" x14ac:dyDescent="0.15">
      <c r="Y2269" s="28"/>
      <c r="Z2269" s="28"/>
      <c r="AK2269" s="28"/>
    </row>
    <row r="2270" spans="25:37" x14ac:dyDescent="0.15">
      <c r="Y2270" s="28"/>
      <c r="Z2270" s="28"/>
      <c r="AK2270" s="28"/>
    </row>
    <row r="2271" spans="25:37" x14ac:dyDescent="0.15">
      <c r="Y2271" s="28"/>
      <c r="Z2271" s="28"/>
      <c r="AK2271" s="28"/>
    </row>
    <row r="2272" spans="25:37" x14ac:dyDescent="0.15">
      <c r="Y2272" s="28"/>
      <c r="Z2272" s="28"/>
      <c r="AK2272" s="28"/>
    </row>
    <row r="2273" spans="25:37" x14ac:dyDescent="0.15">
      <c r="Y2273" s="28"/>
      <c r="Z2273" s="28"/>
      <c r="AK2273" s="28"/>
    </row>
    <row r="2274" spans="25:37" x14ac:dyDescent="0.15">
      <c r="Y2274" s="28"/>
      <c r="Z2274" s="28"/>
      <c r="AK2274" s="28"/>
    </row>
    <row r="2275" spans="25:37" x14ac:dyDescent="0.15">
      <c r="Y2275" s="28"/>
      <c r="Z2275" s="28"/>
      <c r="AK2275" s="28"/>
    </row>
    <row r="2276" spans="25:37" x14ac:dyDescent="0.15">
      <c r="Y2276" s="28"/>
      <c r="Z2276" s="28"/>
      <c r="AK2276" s="28"/>
    </row>
    <row r="2277" spans="25:37" x14ac:dyDescent="0.15">
      <c r="Y2277" s="28"/>
      <c r="Z2277" s="28"/>
      <c r="AK2277" s="28"/>
    </row>
    <row r="2278" spans="25:37" x14ac:dyDescent="0.15">
      <c r="Y2278" s="28"/>
      <c r="Z2278" s="28"/>
      <c r="AK2278" s="28"/>
    </row>
    <row r="2279" spans="25:37" x14ac:dyDescent="0.15">
      <c r="Y2279" s="28"/>
      <c r="Z2279" s="28"/>
      <c r="AK2279" s="28"/>
    </row>
    <row r="2280" spans="25:37" x14ac:dyDescent="0.15">
      <c r="Y2280" s="28"/>
      <c r="Z2280" s="28"/>
      <c r="AK2280" s="28"/>
    </row>
    <row r="2281" spans="25:37" x14ac:dyDescent="0.15">
      <c r="Y2281" s="28"/>
      <c r="Z2281" s="28"/>
      <c r="AK2281" s="28"/>
    </row>
    <row r="2282" spans="25:37" x14ac:dyDescent="0.15">
      <c r="Y2282" s="28"/>
      <c r="Z2282" s="28"/>
      <c r="AK2282" s="28"/>
    </row>
    <row r="2283" spans="25:37" x14ac:dyDescent="0.15">
      <c r="Y2283" s="28"/>
      <c r="Z2283" s="28"/>
      <c r="AK2283" s="28"/>
    </row>
    <row r="2284" spans="25:37" x14ac:dyDescent="0.15">
      <c r="Y2284" s="28"/>
      <c r="Z2284" s="28"/>
      <c r="AK2284" s="28"/>
    </row>
    <row r="2285" spans="25:37" x14ac:dyDescent="0.15">
      <c r="Y2285" s="28"/>
      <c r="Z2285" s="28"/>
      <c r="AK2285" s="28"/>
    </row>
    <row r="2286" spans="25:37" x14ac:dyDescent="0.15">
      <c r="Y2286" s="28"/>
      <c r="Z2286" s="28"/>
      <c r="AK2286" s="28"/>
    </row>
    <row r="2287" spans="25:37" x14ac:dyDescent="0.15">
      <c r="Y2287" s="28"/>
      <c r="Z2287" s="28"/>
      <c r="AK2287" s="28"/>
    </row>
    <row r="2288" spans="25:37" x14ac:dyDescent="0.15">
      <c r="Y2288" s="28"/>
      <c r="Z2288" s="28"/>
      <c r="AK2288" s="28"/>
    </row>
    <row r="2289" spans="25:37" x14ac:dyDescent="0.15">
      <c r="Y2289" s="28"/>
      <c r="Z2289" s="28"/>
      <c r="AK2289" s="28"/>
    </row>
    <row r="2290" spans="25:37" x14ac:dyDescent="0.15">
      <c r="Y2290" s="28"/>
      <c r="Z2290" s="28"/>
      <c r="AK2290" s="28"/>
    </row>
    <row r="2291" spans="25:37" x14ac:dyDescent="0.15">
      <c r="Y2291" s="28"/>
      <c r="Z2291" s="28"/>
      <c r="AK2291" s="28"/>
    </row>
    <row r="2292" spans="25:37" x14ac:dyDescent="0.15">
      <c r="Y2292" s="28"/>
      <c r="Z2292" s="28"/>
      <c r="AK2292" s="28"/>
    </row>
    <row r="2293" spans="25:37" x14ac:dyDescent="0.15">
      <c r="Y2293" s="28"/>
      <c r="Z2293" s="28"/>
      <c r="AK2293" s="28"/>
    </row>
    <row r="2294" spans="25:37" x14ac:dyDescent="0.15">
      <c r="Y2294" s="28"/>
      <c r="Z2294" s="28"/>
      <c r="AK2294" s="28"/>
    </row>
    <row r="2295" spans="25:37" x14ac:dyDescent="0.15">
      <c r="Y2295" s="28"/>
      <c r="Z2295" s="28"/>
      <c r="AK2295" s="28"/>
    </row>
    <row r="2296" spans="25:37" x14ac:dyDescent="0.15">
      <c r="Y2296" s="28"/>
      <c r="Z2296" s="28"/>
      <c r="AK2296" s="28"/>
    </row>
    <row r="2297" spans="25:37" x14ac:dyDescent="0.15">
      <c r="Y2297" s="28"/>
      <c r="Z2297" s="28"/>
      <c r="AK2297" s="28"/>
    </row>
    <row r="2298" spans="25:37" x14ac:dyDescent="0.15">
      <c r="Y2298" s="28"/>
      <c r="Z2298" s="28"/>
      <c r="AK2298" s="28"/>
    </row>
    <row r="2299" spans="25:37" x14ac:dyDescent="0.15">
      <c r="Y2299" s="28"/>
      <c r="Z2299" s="28"/>
      <c r="AK2299" s="28"/>
    </row>
    <row r="2300" spans="25:37" x14ac:dyDescent="0.15">
      <c r="Y2300" s="28"/>
      <c r="Z2300" s="28"/>
      <c r="AK2300" s="28"/>
    </row>
    <row r="2301" spans="25:37" x14ac:dyDescent="0.15">
      <c r="Y2301" s="28"/>
      <c r="Z2301" s="28"/>
      <c r="AK2301" s="28"/>
    </row>
    <row r="2302" spans="25:37" x14ac:dyDescent="0.15">
      <c r="Y2302" s="28"/>
      <c r="Z2302" s="28"/>
      <c r="AK2302" s="28"/>
    </row>
    <row r="2303" spans="25:37" x14ac:dyDescent="0.15">
      <c r="Y2303" s="28"/>
      <c r="Z2303" s="28"/>
      <c r="AK2303" s="28"/>
    </row>
    <row r="2304" spans="25:37" x14ac:dyDescent="0.15">
      <c r="Y2304" s="28"/>
      <c r="Z2304" s="28"/>
      <c r="AK2304" s="28"/>
    </row>
    <row r="2305" spans="25:37" x14ac:dyDescent="0.15">
      <c r="Y2305" s="28"/>
      <c r="Z2305" s="28"/>
      <c r="AK2305" s="28"/>
    </row>
    <row r="2306" spans="25:37" x14ac:dyDescent="0.15">
      <c r="Y2306" s="28"/>
      <c r="Z2306" s="28"/>
      <c r="AK2306" s="28"/>
    </row>
    <row r="2307" spans="25:37" x14ac:dyDescent="0.15">
      <c r="Y2307" s="28"/>
      <c r="Z2307" s="28"/>
      <c r="AK2307" s="28"/>
    </row>
    <row r="2308" spans="25:37" x14ac:dyDescent="0.15">
      <c r="Y2308" s="28"/>
      <c r="Z2308" s="28"/>
      <c r="AK2308" s="28"/>
    </row>
    <row r="2309" spans="25:37" x14ac:dyDescent="0.15">
      <c r="Y2309" s="28"/>
      <c r="Z2309" s="28"/>
      <c r="AK2309" s="28"/>
    </row>
    <row r="2310" spans="25:37" x14ac:dyDescent="0.15">
      <c r="Y2310" s="28"/>
      <c r="Z2310" s="28"/>
      <c r="AK2310" s="28"/>
    </row>
    <row r="2311" spans="25:37" x14ac:dyDescent="0.15">
      <c r="Y2311" s="28"/>
      <c r="Z2311" s="28"/>
      <c r="AK2311" s="28"/>
    </row>
    <row r="2312" spans="25:37" x14ac:dyDescent="0.15">
      <c r="Y2312" s="28"/>
      <c r="Z2312" s="28"/>
      <c r="AK2312" s="28"/>
    </row>
    <row r="2313" spans="25:37" x14ac:dyDescent="0.15">
      <c r="Y2313" s="28"/>
      <c r="Z2313" s="28"/>
      <c r="AK2313" s="28"/>
    </row>
    <row r="2314" spans="25:37" x14ac:dyDescent="0.15">
      <c r="Y2314" s="28"/>
      <c r="Z2314" s="28"/>
      <c r="AK2314" s="28"/>
    </row>
    <row r="2315" spans="25:37" x14ac:dyDescent="0.15">
      <c r="Y2315" s="28"/>
      <c r="Z2315" s="28"/>
      <c r="AK2315" s="28"/>
    </row>
    <row r="2316" spans="25:37" x14ac:dyDescent="0.15">
      <c r="Y2316" s="28"/>
      <c r="Z2316" s="28"/>
      <c r="AK2316" s="28"/>
    </row>
    <row r="2317" spans="25:37" x14ac:dyDescent="0.15">
      <c r="Y2317" s="28"/>
      <c r="Z2317" s="28"/>
      <c r="AK2317" s="28"/>
    </row>
    <row r="2318" spans="25:37" x14ac:dyDescent="0.15">
      <c r="Y2318" s="28"/>
      <c r="Z2318" s="28"/>
      <c r="AK2318" s="28"/>
    </row>
    <row r="2319" spans="25:37" x14ac:dyDescent="0.15">
      <c r="Y2319" s="28"/>
      <c r="Z2319" s="28"/>
      <c r="AK2319" s="28"/>
    </row>
    <row r="2320" spans="25:37" x14ac:dyDescent="0.15">
      <c r="Y2320" s="28"/>
      <c r="Z2320" s="28"/>
    </row>
    <row r="2321" spans="25:26" x14ac:dyDescent="0.15">
      <c r="Y2321" s="28"/>
      <c r="Z2321" s="28"/>
    </row>
    <row r="2322" spans="25:26" x14ac:dyDescent="0.15">
      <c r="Y2322" s="28"/>
      <c r="Z2322" s="28"/>
    </row>
    <row r="2323" spans="25:26" x14ac:dyDescent="0.15">
      <c r="Y2323" s="28"/>
      <c r="Z2323" s="28"/>
    </row>
    <row r="2324" spans="25:26" x14ac:dyDescent="0.15">
      <c r="Y2324" s="28"/>
      <c r="Z2324" s="28"/>
    </row>
    <row r="2325" spans="25:26" x14ac:dyDescent="0.15">
      <c r="Y2325" s="28"/>
      <c r="Z2325" s="28"/>
    </row>
    <row r="2326" spans="25:26" x14ac:dyDescent="0.15">
      <c r="Y2326" s="28"/>
      <c r="Z2326" s="28"/>
    </row>
    <row r="2327" spans="25:26" x14ac:dyDescent="0.15">
      <c r="Y2327" s="28"/>
      <c r="Z2327" s="28"/>
    </row>
    <row r="2328" spans="25:26" x14ac:dyDescent="0.15">
      <c r="Y2328" s="28"/>
      <c r="Z2328" s="28"/>
    </row>
    <row r="2329" spans="25:26" x14ac:dyDescent="0.15">
      <c r="Y2329" s="28"/>
      <c r="Z2329" s="28"/>
    </row>
    <row r="2330" spans="25:26" x14ac:dyDescent="0.15">
      <c r="Y2330" s="28"/>
      <c r="Z2330" s="28"/>
    </row>
    <row r="2331" spans="25:26" x14ac:dyDescent="0.15">
      <c r="Y2331" s="28"/>
      <c r="Z2331" s="28"/>
    </row>
    <row r="2332" spans="25:26" x14ac:dyDescent="0.15">
      <c r="Y2332" s="28"/>
      <c r="Z2332" s="28"/>
    </row>
    <row r="2333" spans="25:26" x14ac:dyDescent="0.15">
      <c r="Y2333" s="28"/>
      <c r="Z2333" s="28"/>
    </row>
    <row r="2334" spans="25:26" x14ac:dyDescent="0.15">
      <c r="Y2334" s="28"/>
      <c r="Z2334" s="28"/>
    </row>
    <row r="2335" spans="25:26" x14ac:dyDescent="0.15">
      <c r="Y2335" s="28"/>
      <c r="Z2335" s="28"/>
    </row>
    <row r="2336" spans="25:26" x14ac:dyDescent="0.15">
      <c r="Y2336" s="28"/>
      <c r="Z2336" s="28"/>
    </row>
    <row r="2337" spans="25:26" x14ac:dyDescent="0.15">
      <c r="Y2337" s="28"/>
      <c r="Z2337" s="28"/>
    </row>
    <row r="2338" spans="25:26" x14ac:dyDescent="0.15">
      <c r="Y2338" s="28"/>
      <c r="Z2338" s="28"/>
    </row>
    <row r="2339" spans="25:26" x14ac:dyDescent="0.15">
      <c r="Y2339" s="28"/>
      <c r="Z2339" s="28"/>
    </row>
    <row r="2340" spans="25:26" x14ac:dyDescent="0.15">
      <c r="Y2340" s="28"/>
      <c r="Z2340" s="28"/>
    </row>
    <row r="2341" spans="25:26" x14ac:dyDescent="0.15">
      <c r="Y2341" s="28"/>
      <c r="Z2341" s="28"/>
    </row>
    <row r="2342" spans="25:26" x14ac:dyDescent="0.15">
      <c r="Y2342" s="28"/>
      <c r="Z2342" s="28"/>
    </row>
    <row r="2343" spans="25:26" x14ac:dyDescent="0.15">
      <c r="Y2343" s="28"/>
      <c r="Z2343" s="28"/>
    </row>
    <row r="2344" spans="25:26" x14ac:dyDescent="0.15">
      <c r="Y2344" s="28"/>
      <c r="Z2344" s="28"/>
    </row>
    <row r="2345" spans="25:26" x14ac:dyDescent="0.15">
      <c r="Y2345" s="28"/>
      <c r="Z2345" s="28"/>
    </row>
    <row r="2346" spans="25:26" x14ac:dyDescent="0.15">
      <c r="Y2346" s="28"/>
      <c r="Z2346" s="28"/>
    </row>
    <row r="2347" spans="25:26" x14ac:dyDescent="0.15">
      <c r="Y2347" s="28"/>
      <c r="Z2347" s="28"/>
    </row>
    <row r="2348" spans="25:26" x14ac:dyDescent="0.15">
      <c r="Y2348" s="28"/>
      <c r="Z2348" s="28"/>
    </row>
    <row r="2349" spans="25:26" x14ac:dyDescent="0.15">
      <c r="Y2349" s="28"/>
      <c r="Z2349" s="28"/>
    </row>
    <row r="2350" spans="25:26" x14ac:dyDescent="0.15">
      <c r="Y2350" s="28"/>
      <c r="Z2350" s="28"/>
    </row>
    <row r="2351" spans="25:26" x14ac:dyDescent="0.15">
      <c r="Y2351" s="28"/>
      <c r="Z2351" s="28"/>
    </row>
    <row r="2352" spans="25:26" x14ac:dyDescent="0.15">
      <c r="Y2352" s="28"/>
      <c r="Z2352" s="28"/>
    </row>
    <row r="2353" spans="25:26" x14ac:dyDescent="0.15">
      <c r="Y2353" s="28"/>
      <c r="Z2353" s="28"/>
    </row>
    <row r="2354" spans="25:26" x14ac:dyDescent="0.15">
      <c r="Y2354" s="28"/>
      <c r="Z2354" s="28"/>
    </row>
    <row r="2355" spans="25:26" x14ac:dyDescent="0.15">
      <c r="Y2355" s="28"/>
      <c r="Z2355" s="28"/>
    </row>
    <row r="2356" spans="25:26" x14ac:dyDescent="0.15">
      <c r="Y2356" s="28"/>
      <c r="Z2356" s="28"/>
    </row>
    <row r="2357" spans="25:26" x14ac:dyDescent="0.15">
      <c r="Y2357" s="28"/>
      <c r="Z2357" s="28"/>
    </row>
    <row r="2358" spans="25:26" x14ac:dyDescent="0.15">
      <c r="Y2358" s="28"/>
      <c r="Z2358" s="28"/>
    </row>
    <row r="2359" spans="25:26" x14ac:dyDescent="0.15">
      <c r="Y2359" s="28"/>
      <c r="Z2359" s="28"/>
    </row>
    <row r="2360" spans="25:26" x14ac:dyDescent="0.15">
      <c r="Y2360" s="28"/>
      <c r="Z2360" s="28"/>
    </row>
    <row r="2361" spans="25:26" x14ac:dyDescent="0.15">
      <c r="Y2361" s="28"/>
      <c r="Z2361" s="28"/>
    </row>
    <row r="2362" spans="25:26" x14ac:dyDescent="0.15">
      <c r="Y2362" s="28"/>
      <c r="Z2362" s="28"/>
    </row>
    <row r="2363" spans="25:26" x14ac:dyDescent="0.15">
      <c r="Y2363" s="28"/>
      <c r="Z2363" s="28"/>
    </row>
    <row r="2364" spans="25:26" x14ac:dyDescent="0.15">
      <c r="Y2364" s="28"/>
      <c r="Z2364" s="28"/>
    </row>
    <row r="2365" spans="25:26" x14ac:dyDescent="0.15">
      <c r="Y2365" s="28"/>
      <c r="Z2365" s="28"/>
    </row>
    <row r="2366" spans="25:26" x14ac:dyDescent="0.15">
      <c r="Y2366" s="28"/>
      <c r="Z2366" s="28"/>
    </row>
    <row r="2367" spans="25:26" x14ac:dyDescent="0.15">
      <c r="Y2367" s="28"/>
      <c r="Z2367" s="28"/>
    </row>
    <row r="2368" spans="25:26" x14ac:dyDescent="0.15">
      <c r="Y2368" s="28"/>
      <c r="Z2368" s="28"/>
    </row>
    <row r="2369" spans="25:26" x14ac:dyDescent="0.15">
      <c r="Y2369" s="28"/>
      <c r="Z2369" s="28"/>
    </row>
    <row r="2370" spans="25:26" x14ac:dyDescent="0.15">
      <c r="Y2370" s="28"/>
      <c r="Z2370" s="28"/>
    </row>
    <row r="2371" spans="25:26" x14ac:dyDescent="0.15">
      <c r="Y2371" s="28"/>
      <c r="Z2371" s="28"/>
    </row>
    <row r="2372" spans="25:26" x14ac:dyDescent="0.15">
      <c r="Y2372" s="28"/>
      <c r="Z2372" s="28"/>
    </row>
    <row r="2373" spans="25:26" x14ac:dyDescent="0.15">
      <c r="Y2373" s="28"/>
      <c r="Z2373" s="28"/>
    </row>
    <row r="2374" spans="25:26" x14ac:dyDescent="0.15">
      <c r="Y2374" s="28"/>
      <c r="Z2374" s="28"/>
    </row>
    <row r="2375" spans="25:26" x14ac:dyDescent="0.15">
      <c r="Y2375" s="28"/>
      <c r="Z2375" s="28"/>
    </row>
    <row r="2376" spans="25:26" x14ac:dyDescent="0.15">
      <c r="Y2376" s="28"/>
      <c r="Z2376" s="28"/>
    </row>
    <row r="2377" spans="25:26" x14ac:dyDescent="0.15">
      <c r="Y2377" s="28"/>
      <c r="Z2377" s="28"/>
    </row>
    <row r="2378" spans="25:26" x14ac:dyDescent="0.15">
      <c r="Y2378" s="28"/>
      <c r="Z2378" s="28"/>
    </row>
    <row r="2379" spans="25:26" x14ac:dyDescent="0.15">
      <c r="Y2379" s="28"/>
      <c r="Z2379" s="28"/>
    </row>
    <row r="2380" spans="25:26" x14ac:dyDescent="0.15">
      <c r="Y2380" s="28"/>
      <c r="Z2380" s="28"/>
    </row>
    <row r="2381" spans="25:26" x14ac:dyDescent="0.15">
      <c r="Y2381" s="28"/>
      <c r="Z2381" s="28"/>
    </row>
    <row r="2382" spans="25:26" x14ac:dyDescent="0.15">
      <c r="Y2382" s="28"/>
      <c r="Z2382" s="28"/>
    </row>
    <row r="2383" spans="25:26" x14ac:dyDescent="0.15">
      <c r="Y2383" s="28"/>
      <c r="Z2383" s="28"/>
    </row>
    <row r="2384" spans="25:26" x14ac:dyDescent="0.15">
      <c r="Y2384" s="28"/>
      <c r="Z2384" s="28"/>
    </row>
    <row r="2385" spans="25:26" x14ac:dyDescent="0.15">
      <c r="Y2385" s="28"/>
      <c r="Z2385" s="28"/>
    </row>
    <row r="2386" spans="25:26" x14ac:dyDescent="0.15">
      <c r="Y2386" s="28"/>
      <c r="Z2386" s="28"/>
    </row>
    <row r="2387" spans="25:26" x14ac:dyDescent="0.15">
      <c r="Y2387" s="28"/>
      <c r="Z2387" s="28"/>
    </row>
    <row r="2388" spans="25:26" x14ac:dyDescent="0.15">
      <c r="Y2388" s="28"/>
      <c r="Z2388" s="28"/>
    </row>
    <row r="2389" spans="25:26" x14ac:dyDescent="0.15">
      <c r="Y2389" s="28"/>
      <c r="Z2389" s="28"/>
    </row>
    <row r="2390" spans="25:26" x14ac:dyDescent="0.15">
      <c r="Y2390" s="28"/>
      <c r="Z2390" s="28"/>
    </row>
    <row r="2391" spans="25:26" x14ac:dyDescent="0.15">
      <c r="Y2391" s="28"/>
      <c r="Z2391" s="28"/>
    </row>
    <row r="2392" spans="25:26" x14ac:dyDescent="0.15">
      <c r="Y2392" s="28"/>
      <c r="Z2392" s="28"/>
    </row>
    <row r="2393" spans="25:26" x14ac:dyDescent="0.15">
      <c r="Y2393" s="28"/>
      <c r="Z2393" s="28"/>
    </row>
    <row r="2394" spans="25:26" x14ac:dyDescent="0.15">
      <c r="Y2394" s="28"/>
      <c r="Z2394" s="28"/>
    </row>
    <row r="2395" spans="25:26" x14ac:dyDescent="0.15">
      <c r="Y2395" s="28"/>
      <c r="Z2395" s="28"/>
    </row>
    <row r="2396" spans="25:26" x14ac:dyDescent="0.15">
      <c r="Y2396" s="28"/>
      <c r="Z2396" s="28"/>
    </row>
    <row r="2397" spans="25:26" x14ac:dyDescent="0.15">
      <c r="Y2397" s="28"/>
      <c r="Z2397" s="28"/>
    </row>
    <row r="2398" spans="25:26" x14ac:dyDescent="0.15">
      <c r="Y2398" s="28"/>
      <c r="Z2398" s="28"/>
    </row>
    <row r="2399" spans="25:26" x14ac:dyDescent="0.15">
      <c r="Y2399" s="28"/>
      <c r="Z2399" s="28"/>
    </row>
    <row r="2400" spans="25:26" x14ac:dyDescent="0.15">
      <c r="Y2400" s="28"/>
      <c r="Z2400" s="28"/>
    </row>
    <row r="2401" spans="25:26" x14ac:dyDescent="0.15">
      <c r="Y2401" s="28"/>
      <c r="Z2401" s="28"/>
    </row>
    <row r="2402" spans="25:26" x14ac:dyDescent="0.15">
      <c r="Y2402" s="28"/>
      <c r="Z2402" s="28"/>
    </row>
    <row r="2403" spans="25:26" x14ac:dyDescent="0.15">
      <c r="Y2403" s="28"/>
      <c r="Z2403" s="28"/>
    </row>
    <row r="2404" spans="25:26" x14ac:dyDescent="0.15">
      <c r="Y2404" s="28"/>
      <c r="Z2404" s="28"/>
    </row>
    <row r="2405" spans="25:26" x14ac:dyDescent="0.15">
      <c r="Y2405" s="28"/>
      <c r="Z2405" s="28"/>
    </row>
    <row r="2406" spans="25:26" x14ac:dyDescent="0.15">
      <c r="Y2406" s="28"/>
      <c r="Z2406" s="28"/>
    </row>
    <row r="2407" spans="25:26" x14ac:dyDescent="0.15">
      <c r="Y2407" s="28"/>
      <c r="Z2407" s="28"/>
    </row>
    <row r="2408" spans="25:26" x14ac:dyDescent="0.15">
      <c r="Y2408" s="28"/>
      <c r="Z2408" s="28"/>
    </row>
    <row r="2409" spans="25:26" x14ac:dyDescent="0.15">
      <c r="Y2409" s="28"/>
      <c r="Z2409" s="28"/>
    </row>
    <row r="2410" spans="25:26" x14ac:dyDescent="0.15">
      <c r="Y2410" s="28"/>
      <c r="Z2410" s="28"/>
    </row>
    <row r="2411" spans="25:26" x14ac:dyDescent="0.15">
      <c r="Y2411" s="28"/>
      <c r="Z2411" s="28"/>
    </row>
    <row r="2412" spans="25:26" x14ac:dyDescent="0.15">
      <c r="Y2412" s="28"/>
      <c r="Z2412" s="28"/>
    </row>
    <row r="2413" spans="25:26" x14ac:dyDescent="0.15">
      <c r="Y2413" s="28"/>
      <c r="Z2413" s="28"/>
    </row>
    <row r="2414" spans="25:26" x14ac:dyDescent="0.15">
      <c r="Y2414" s="28"/>
      <c r="Z2414" s="28"/>
    </row>
    <row r="2415" spans="25:26" x14ac:dyDescent="0.15">
      <c r="Y2415" s="28"/>
      <c r="Z2415" s="28"/>
    </row>
    <row r="2416" spans="25:26" x14ac:dyDescent="0.15">
      <c r="Y2416" s="28"/>
      <c r="Z2416" s="28"/>
    </row>
    <row r="2417" spans="25:26" x14ac:dyDescent="0.15">
      <c r="Y2417" s="28"/>
      <c r="Z2417" s="28"/>
    </row>
    <row r="2418" spans="25:26" x14ac:dyDescent="0.15">
      <c r="Y2418" s="28"/>
      <c r="Z2418" s="28"/>
    </row>
    <row r="2419" spans="25:26" x14ac:dyDescent="0.15">
      <c r="Y2419" s="28"/>
      <c r="Z2419" s="28"/>
    </row>
    <row r="2420" spans="25:26" x14ac:dyDescent="0.15">
      <c r="Y2420" s="28"/>
      <c r="Z2420" s="28"/>
    </row>
    <row r="2421" spans="25:26" x14ac:dyDescent="0.15">
      <c r="Y2421" s="28"/>
      <c r="Z2421" s="28"/>
    </row>
    <row r="2422" spans="25:26" x14ac:dyDescent="0.15">
      <c r="Y2422" s="28"/>
      <c r="Z2422" s="28"/>
    </row>
    <row r="2423" spans="25:26" x14ac:dyDescent="0.15">
      <c r="Y2423" s="28"/>
      <c r="Z2423" s="28"/>
    </row>
    <row r="2424" spans="25:26" x14ac:dyDescent="0.15">
      <c r="Y2424" s="28"/>
      <c r="Z2424" s="28"/>
    </row>
    <row r="2425" spans="25:26" x14ac:dyDescent="0.15">
      <c r="Y2425" s="28"/>
      <c r="Z2425" s="28"/>
    </row>
    <row r="2426" spans="25:26" x14ac:dyDescent="0.15">
      <c r="Y2426" s="28"/>
      <c r="Z2426" s="28"/>
    </row>
    <row r="2427" spans="25:26" x14ac:dyDescent="0.15">
      <c r="Y2427" s="28"/>
      <c r="Z2427" s="28"/>
    </row>
    <row r="2428" spans="25:26" x14ac:dyDescent="0.15">
      <c r="Y2428" s="28"/>
      <c r="Z2428" s="28"/>
    </row>
    <row r="2429" spans="25:26" x14ac:dyDescent="0.15">
      <c r="Y2429" s="28"/>
      <c r="Z2429" s="28"/>
    </row>
    <row r="2430" spans="25:26" x14ac:dyDescent="0.15">
      <c r="Y2430" s="28"/>
      <c r="Z2430" s="28"/>
    </row>
    <row r="2431" spans="25:26" x14ac:dyDescent="0.15">
      <c r="Y2431" s="28"/>
      <c r="Z2431" s="28"/>
    </row>
    <row r="2432" spans="25:26" x14ac:dyDescent="0.15">
      <c r="Y2432" s="28"/>
      <c r="Z2432" s="28"/>
    </row>
    <row r="2433" spans="25:26" x14ac:dyDescent="0.15">
      <c r="Y2433" s="28"/>
      <c r="Z2433" s="28"/>
    </row>
    <row r="2434" spans="25:26" x14ac:dyDescent="0.15">
      <c r="Y2434" s="28"/>
      <c r="Z2434" s="28"/>
    </row>
    <row r="2435" spans="25:26" x14ac:dyDescent="0.15">
      <c r="Y2435" s="28"/>
      <c r="Z2435" s="28"/>
    </row>
    <row r="2436" spans="25:26" x14ac:dyDescent="0.15">
      <c r="Y2436" s="28"/>
      <c r="Z2436" s="28"/>
    </row>
    <row r="2437" spans="25:26" x14ac:dyDescent="0.15">
      <c r="Y2437" s="28"/>
      <c r="Z2437" s="28"/>
    </row>
    <row r="2438" spans="25:26" x14ac:dyDescent="0.15">
      <c r="Y2438" s="28"/>
      <c r="Z2438" s="28"/>
    </row>
    <row r="2439" spans="25:26" x14ac:dyDescent="0.15">
      <c r="Y2439" s="28"/>
      <c r="Z2439" s="28"/>
    </row>
    <row r="2440" spans="25:26" x14ac:dyDescent="0.15">
      <c r="Y2440" s="28"/>
      <c r="Z2440" s="28"/>
    </row>
    <row r="2441" spans="25:26" x14ac:dyDescent="0.15">
      <c r="Y2441" s="28"/>
      <c r="Z2441" s="28"/>
    </row>
    <row r="2442" spans="25:26" x14ac:dyDescent="0.15">
      <c r="Y2442" s="28"/>
      <c r="Z2442" s="28"/>
    </row>
    <row r="2443" spans="25:26" x14ac:dyDescent="0.15">
      <c r="Y2443" s="28"/>
      <c r="Z2443" s="28"/>
    </row>
    <row r="2444" spans="25:26" x14ac:dyDescent="0.15">
      <c r="Y2444" s="28"/>
      <c r="Z2444" s="28"/>
    </row>
    <row r="2445" spans="25:26" x14ac:dyDescent="0.15">
      <c r="Y2445" s="28"/>
      <c r="Z2445" s="28"/>
    </row>
    <row r="2446" spans="25:26" x14ac:dyDescent="0.15">
      <c r="Y2446" s="28"/>
      <c r="Z2446" s="28"/>
    </row>
    <row r="2447" spans="25:26" x14ac:dyDescent="0.15">
      <c r="Y2447" s="28"/>
      <c r="Z2447" s="28"/>
    </row>
    <row r="2448" spans="25:26" x14ac:dyDescent="0.15">
      <c r="Y2448" s="28"/>
      <c r="Z2448" s="28"/>
    </row>
    <row r="2449" spans="25:26" x14ac:dyDescent="0.15">
      <c r="Y2449" s="28"/>
      <c r="Z2449" s="28"/>
    </row>
    <row r="2450" spans="25:26" x14ac:dyDescent="0.15">
      <c r="Y2450" s="28"/>
      <c r="Z2450" s="28"/>
    </row>
    <row r="2451" spans="25:26" x14ac:dyDescent="0.15">
      <c r="Y2451" s="28"/>
      <c r="Z2451" s="28"/>
    </row>
    <row r="2452" spans="25:26" x14ac:dyDescent="0.15">
      <c r="Y2452" s="28"/>
      <c r="Z2452" s="28"/>
    </row>
    <row r="2453" spans="25:26" x14ac:dyDescent="0.15">
      <c r="Y2453" s="28"/>
      <c r="Z2453" s="28"/>
    </row>
    <row r="2454" spans="25:26" x14ac:dyDescent="0.15">
      <c r="Y2454" s="28"/>
      <c r="Z2454" s="28"/>
    </row>
    <row r="2455" spans="25:26" x14ac:dyDescent="0.15">
      <c r="Y2455" s="28"/>
      <c r="Z2455" s="28"/>
    </row>
    <row r="2456" spans="25:26" x14ac:dyDescent="0.15">
      <c r="Y2456" s="28"/>
      <c r="Z2456" s="28"/>
    </row>
    <row r="2457" spans="25:26" x14ac:dyDescent="0.15">
      <c r="Y2457" s="28"/>
      <c r="Z2457" s="28"/>
    </row>
    <row r="2458" spans="25:26" x14ac:dyDescent="0.15">
      <c r="Y2458" s="28"/>
      <c r="Z2458" s="28"/>
    </row>
    <row r="2459" spans="25:26" x14ac:dyDescent="0.15">
      <c r="Y2459" s="28"/>
      <c r="Z2459" s="28"/>
    </row>
    <row r="2460" spans="25:26" x14ac:dyDescent="0.15">
      <c r="Y2460" s="28"/>
      <c r="Z2460" s="28"/>
    </row>
    <row r="2461" spans="25:26" x14ac:dyDescent="0.15">
      <c r="Y2461" s="28"/>
      <c r="Z2461" s="28"/>
    </row>
    <row r="2462" spans="25:26" x14ac:dyDescent="0.15">
      <c r="Y2462" s="28"/>
      <c r="Z2462" s="28"/>
    </row>
    <row r="2463" spans="25:26" x14ac:dyDescent="0.15">
      <c r="Y2463" s="28"/>
      <c r="Z2463" s="28"/>
    </row>
    <row r="2464" spans="25:26" x14ac:dyDescent="0.15">
      <c r="Y2464" s="28"/>
      <c r="Z2464" s="28"/>
    </row>
    <row r="2465" spans="25:26" x14ac:dyDescent="0.15">
      <c r="Y2465" s="28"/>
      <c r="Z2465" s="28"/>
    </row>
    <row r="2466" spans="25:26" x14ac:dyDescent="0.15">
      <c r="Y2466" s="28"/>
      <c r="Z2466" s="28"/>
    </row>
    <row r="2467" spans="25:26" x14ac:dyDescent="0.15">
      <c r="Y2467" s="28"/>
      <c r="Z2467" s="28"/>
    </row>
    <row r="2468" spans="25:26" x14ac:dyDescent="0.15">
      <c r="Y2468" s="28"/>
      <c r="Z2468" s="28"/>
    </row>
    <row r="2469" spans="25:26" x14ac:dyDescent="0.15">
      <c r="Y2469" s="28"/>
      <c r="Z2469" s="28"/>
    </row>
    <row r="2470" spans="25:26" x14ac:dyDescent="0.15">
      <c r="Y2470" s="28"/>
      <c r="Z2470" s="28"/>
    </row>
    <row r="2471" spans="25:26" x14ac:dyDescent="0.15">
      <c r="Y2471" s="28"/>
      <c r="Z2471" s="28"/>
    </row>
    <row r="2472" spans="25:26" x14ac:dyDescent="0.15">
      <c r="Y2472" s="28"/>
      <c r="Z2472" s="28"/>
    </row>
    <row r="2473" spans="25:26" x14ac:dyDescent="0.15">
      <c r="Y2473" s="28"/>
      <c r="Z2473" s="28"/>
    </row>
    <row r="2474" spans="25:26" x14ac:dyDescent="0.15">
      <c r="Y2474" s="28"/>
      <c r="Z2474" s="28"/>
    </row>
    <row r="2475" spans="25:26" x14ac:dyDescent="0.15">
      <c r="Y2475" s="28"/>
      <c r="Z2475" s="28"/>
    </row>
    <row r="2476" spans="25:26" x14ac:dyDescent="0.15">
      <c r="Y2476" s="28"/>
      <c r="Z2476" s="28"/>
    </row>
    <row r="2477" spans="25:26" x14ac:dyDescent="0.15">
      <c r="Y2477" s="28"/>
      <c r="Z2477" s="28"/>
    </row>
    <row r="2478" spans="25:26" x14ac:dyDescent="0.15">
      <c r="Y2478" s="28"/>
      <c r="Z2478" s="28"/>
    </row>
    <row r="2479" spans="25:26" x14ac:dyDescent="0.15">
      <c r="Y2479" s="28"/>
      <c r="Z2479" s="28"/>
    </row>
    <row r="2480" spans="25:26" x14ac:dyDescent="0.15">
      <c r="Y2480" s="28"/>
      <c r="Z2480" s="28"/>
    </row>
    <row r="2481" spans="25:26" x14ac:dyDescent="0.15">
      <c r="Y2481" s="28"/>
      <c r="Z2481" s="28"/>
    </row>
    <row r="2482" spans="25:26" x14ac:dyDescent="0.15">
      <c r="Y2482" s="28"/>
      <c r="Z2482" s="28"/>
    </row>
    <row r="2483" spans="25:26" x14ac:dyDescent="0.15">
      <c r="Y2483" s="28"/>
      <c r="Z2483" s="28"/>
    </row>
    <row r="2484" spans="25:26" x14ac:dyDescent="0.15">
      <c r="Y2484" s="28"/>
      <c r="Z2484" s="28"/>
    </row>
    <row r="2485" spans="25:26" x14ac:dyDescent="0.15">
      <c r="Y2485" s="28"/>
      <c r="Z2485" s="28"/>
    </row>
    <row r="2486" spans="25:26" x14ac:dyDescent="0.15">
      <c r="Y2486" s="28"/>
      <c r="Z2486" s="28"/>
    </row>
    <row r="2487" spans="25:26" x14ac:dyDescent="0.15">
      <c r="Y2487" s="28"/>
      <c r="Z2487" s="28"/>
    </row>
    <row r="2488" spans="25:26" x14ac:dyDescent="0.15">
      <c r="Y2488" s="28"/>
      <c r="Z2488" s="28"/>
    </row>
    <row r="2489" spans="25:26" x14ac:dyDescent="0.15">
      <c r="Y2489" s="28"/>
      <c r="Z2489" s="28"/>
    </row>
    <row r="2490" spans="25:26" x14ac:dyDescent="0.15">
      <c r="Y2490" s="28"/>
      <c r="Z2490" s="28"/>
    </row>
    <row r="2491" spans="25:26" x14ac:dyDescent="0.15">
      <c r="Y2491" s="28"/>
      <c r="Z2491" s="28"/>
    </row>
    <row r="2492" spans="25:26" x14ac:dyDescent="0.15">
      <c r="Y2492" s="28"/>
      <c r="Z2492" s="28"/>
    </row>
    <row r="2493" spans="25:26" x14ac:dyDescent="0.15">
      <c r="Y2493" s="28"/>
      <c r="Z2493" s="28"/>
    </row>
    <row r="2494" spans="25:26" x14ac:dyDescent="0.15">
      <c r="Y2494" s="28"/>
      <c r="Z2494" s="28"/>
    </row>
    <row r="2495" spans="25:26" x14ac:dyDescent="0.15">
      <c r="Y2495" s="28"/>
      <c r="Z2495" s="28"/>
    </row>
    <row r="2496" spans="25:26" x14ac:dyDescent="0.15">
      <c r="Y2496" s="28"/>
      <c r="Z2496" s="28"/>
    </row>
    <row r="2497" spans="25:26" x14ac:dyDescent="0.15">
      <c r="Y2497" s="28"/>
      <c r="Z2497" s="28"/>
    </row>
    <row r="2498" spans="25:26" x14ac:dyDescent="0.15">
      <c r="Y2498" s="28"/>
      <c r="Z2498" s="28"/>
    </row>
    <row r="2499" spans="25:26" x14ac:dyDescent="0.15">
      <c r="Y2499" s="28"/>
      <c r="Z2499" s="28"/>
    </row>
    <row r="2500" spans="25:26" x14ac:dyDescent="0.15">
      <c r="Y2500" s="28"/>
      <c r="Z2500" s="28"/>
    </row>
    <row r="2501" spans="25:26" x14ac:dyDescent="0.15">
      <c r="Y2501" s="28"/>
      <c r="Z2501" s="28"/>
    </row>
    <row r="2502" spans="25:26" x14ac:dyDescent="0.15">
      <c r="Y2502" s="28"/>
      <c r="Z2502" s="28"/>
    </row>
    <row r="2503" spans="25:26" x14ac:dyDescent="0.15">
      <c r="Y2503" s="28"/>
      <c r="Z2503" s="28"/>
    </row>
    <row r="2504" spans="25:26" x14ac:dyDescent="0.15">
      <c r="Y2504" s="28"/>
      <c r="Z2504" s="28"/>
    </row>
    <row r="2505" spans="25:26" x14ac:dyDescent="0.15">
      <c r="Y2505" s="28"/>
      <c r="Z2505" s="28"/>
    </row>
    <row r="2506" spans="25:26" x14ac:dyDescent="0.15">
      <c r="Y2506" s="28"/>
      <c r="Z2506" s="28"/>
    </row>
    <row r="2507" spans="25:26" x14ac:dyDescent="0.15">
      <c r="Y2507" s="28"/>
      <c r="Z2507" s="28"/>
    </row>
    <row r="2508" spans="25:26" x14ac:dyDescent="0.15">
      <c r="Y2508" s="28"/>
      <c r="Z2508" s="28"/>
    </row>
    <row r="2509" spans="25:26" x14ac:dyDescent="0.15">
      <c r="Y2509" s="28"/>
      <c r="Z2509" s="28"/>
    </row>
    <row r="2510" spans="25:26" x14ac:dyDescent="0.15">
      <c r="Y2510" s="28"/>
      <c r="Z2510" s="28"/>
    </row>
    <row r="2511" spans="25:26" x14ac:dyDescent="0.15">
      <c r="Y2511" s="28"/>
      <c r="Z2511" s="28"/>
    </row>
    <row r="2512" spans="25:26" x14ac:dyDescent="0.15">
      <c r="Y2512" s="28"/>
      <c r="Z2512" s="28"/>
    </row>
    <row r="2513" spans="25:26" x14ac:dyDescent="0.15">
      <c r="Y2513" s="28"/>
      <c r="Z2513" s="28"/>
    </row>
    <row r="2514" spans="25:26" x14ac:dyDescent="0.15">
      <c r="Y2514" s="28"/>
      <c r="Z2514" s="28"/>
    </row>
    <row r="2515" spans="25:26" x14ac:dyDescent="0.15">
      <c r="Y2515" s="28"/>
      <c r="Z2515" s="28"/>
    </row>
    <row r="2516" spans="25:26" x14ac:dyDescent="0.15">
      <c r="Y2516" s="28"/>
      <c r="Z2516" s="28"/>
    </row>
    <row r="2517" spans="25:26" x14ac:dyDescent="0.15">
      <c r="Y2517" s="28"/>
      <c r="Z2517" s="28"/>
    </row>
    <row r="2518" spans="25:26" x14ac:dyDescent="0.15">
      <c r="Y2518" s="28"/>
      <c r="Z2518" s="28"/>
    </row>
    <row r="2519" spans="25:26" x14ac:dyDescent="0.15">
      <c r="Y2519" s="28"/>
      <c r="Z2519" s="28"/>
    </row>
    <row r="2520" spans="25:26" x14ac:dyDescent="0.15">
      <c r="Y2520" s="28"/>
      <c r="Z2520" s="28"/>
    </row>
    <row r="2521" spans="25:26" x14ac:dyDescent="0.15">
      <c r="Y2521" s="28"/>
      <c r="Z2521" s="28"/>
    </row>
    <row r="2522" spans="25:26" x14ac:dyDescent="0.15">
      <c r="Y2522" s="28"/>
      <c r="Z2522" s="28"/>
    </row>
    <row r="2523" spans="25:26" x14ac:dyDescent="0.15">
      <c r="Y2523" s="28"/>
      <c r="Z2523" s="28"/>
    </row>
    <row r="2524" spans="25:26" x14ac:dyDescent="0.15">
      <c r="Y2524" s="28"/>
      <c r="Z2524" s="28"/>
    </row>
    <row r="2525" spans="25:26" x14ac:dyDescent="0.15">
      <c r="Y2525" s="28"/>
      <c r="Z2525" s="28"/>
    </row>
    <row r="2526" spans="25:26" x14ac:dyDescent="0.15">
      <c r="Y2526" s="28"/>
      <c r="Z2526" s="28"/>
    </row>
    <row r="2527" spans="25:26" x14ac:dyDescent="0.15">
      <c r="Y2527" s="28"/>
      <c r="Z2527" s="28"/>
    </row>
    <row r="2528" spans="25:26" x14ac:dyDescent="0.15">
      <c r="Y2528" s="28"/>
      <c r="Z2528" s="28"/>
    </row>
    <row r="2529" spans="25:26" x14ac:dyDescent="0.15">
      <c r="Y2529" s="28"/>
      <c r="Z2529" s="28"/>
    </row>
    <row r="2530" spans="25:26" x14ac:dyDescent="0.15">
      <c r="Y2530" s="28"/>
      <c r="Z2530" s="28"/>
    </row>
    <row r="2531" spans="25:26" x14ac:dyDescent="0.15">
      <c r="Y2531" s="28"/>
      <c r="Z2531" s="28"/>
    </row>
    <row r="2532" spans="25:26" x14ac:dyDescent="0.15">
      <c r="Y2532" s="28"/>
      <c r="Z2532" s="28"/>
    </row>
    <row r="2533" spans="25:26" x14ac:dyDescent="0.15">
      <c r="Y2533" s="28"/>
      <c r="Z2533" s="28"/>
    </row>
    <row r="2534" spans="25:26" x14ac:dyDescent="0.15">
      <c r="Y2534" s="28"/>
      <c r="Z2534" s="28"/>
    </row>
    <row r="2535" spans="25:26" x14ac:dyDescent="0.15">
      <c r="Y2535" s="28"/>
      <c r="Z2535" s="28"/>
    </row>
    <row r="2536" spans="25:26" x14ac:dyDescent="0.15">
      <c r="Y2536" s="28"/>
      <c r="Z2536" s="28"/>
    </row>
    <row r="2537" spans="25:26" x14ac:dyDescent="0.15">
      <c r="Y2537" s="28"/>
      <c r="Z2537" s="28"/>
    </row>
    <row r="2538" spans="25:26" x14ac:dyDescent="0.15">
      <c r="Y2538" s="28"/>
      <c r="Z2538" s="28"/>
    </row>
    <row r="2539" spans="25:26" x14ac:dyDescent="0.15">
      <c r="Y2539" s="28"/>
      <c r="Z2539" s="28"/>
    </row>
    <row r="2540" spans="25:26" x14ac:dyDescent="0.15">
      <c r="Y2540" s="28"/>
      <c r="Z2540" s="28"/>
    </row>
    <row r="2541" spans="25:26" x14ac:dyDescent="0.15">
      <c r="Y2541" s="28"/>
      <c r="Z2541" s="28"/>
    </row>
    <row r="2542" spans="25:26" x14ac:dyDescent="0.15">
      <c r="Y2542" s="28"/>
      <c r="Z2542" s="28"/>
    </row>
    <row r="2543" spans="25:26" x14ac:dyDescent="0.15">
      <c r="Y2543" s="28"/>
      <c r="Z2543" s="28"/>
    </row>
    <row r="2544" spans="25:26" x14ac:dyDescent="0.15">
      <c r="Y2544" s="28"/>
      <c r="Z2544" s="28"/>
    </row>
    <row r="2545" spans="25:26" x14ac:dyDescent="0.15">
      <c r="Y2545" s="28"/>
      <c r="Z2545" s="28"/>
    </row>
    <row r="2546" spans="25:26" x14ac:dyDescent="0.15">
      <c r="Y2546" s="28"/>
      <c r="Z2546" s="28"/>
    </row>
    <row r="2547" spans="25:26" x14ac:dyDescent="0.15">
      <c r="Y2547" s="28"/>
      <c r="Z2547" s="28"/>
    </row>
  </sheetData>
  <phoneticPr fontId="19" type="noConversion"/>
  <pageMargins left="0.75" right="0.75" top="1" bottom="1" header="0.5" footer="0.5"/>
  <pageSetup paperSize="9" scale="47" orientation="landscape" horizontalDpi="4294967293"/>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8</vt:i4>
      </vt:variant>
      <vt:variant>
        <vt:lpstr>Charts</vt:lpstr>
      </vt:variant>
      <vt:variant>
        <vt:i4>2</vt:i4>
      </vt:variant>
      <vt:variant>
        <vt:lpstr>Named Ranges</vt:lpstr>
      </vt:variant>
      <vt:variant>
        <vt:i4>64</vt:i4>
      </vt:variant>
    </vt:vector>
  </HeadingPairs>
  <TitlesOfParts>
    <vt:vector size="74" baseType="lpstr">
      <vt:lpstr>Model Figure</vt:lpstr>
      <vt:lpstr>Analysis</vt:lpstr>
      <vt:lpstr>Parameters</vt:lpstr>
      <vt:lpstr>Life tables</vt:lpstr>
      <vt:lpstr>Hazard function</vt:lpstr>
      <vt:lpstr>Standard</vt:lpstr>
      <vt:lpstr>NP1</vt:lpstr>
      <vt:lpstr>Simulation</vt:lpstr>
      <vt:lpstr>EVPI</vt:lpstr>
      <vt:lpstr>partial EVPI</vt:lpstr>
      <vt:lpstr>'Hazard function'!a</vt:lpstr>
      <vt:lpstr>age</vt:lpstr>
      <vt:lpstr>ageC</vt:lpstr>
      <vt:lpstr>'Hazard function'!b</vt:lpstr>
      <vt:lpstr>'Hazard function'!c_</vt:lpstr>
      <vt:lpstr>cDR</vt:lpstr>
      <vt:lpstr>cNP1</vt:lpstr>
      <vt:lpstr>cNP2</vt:lpstr>
      <vt:lpstr>cons</vt:lpstr>
      <vt:lpstr>cPrimary</vt:lpstr>
      <vt:lpstr>cRatio</vt:lpstr>
      <vt:lpstr>cRevision</vt:lpstr>
      <vt:lpstr>cStandard</vt:lpstr>
      <vt:lpstr>cSuccess</vt:lpstr>
      <vt:lpstr>NP1!cycle</vt:lpstr>
      <vt:lpstr>cycle</vt:lpstr>
      <vt:lpstr>'Hazard function'!d</vt:lpstr>
      <vt:lpstr>'Hazard function'!e</vt:lpstr>
      <vt:lpstr>effpop</vt:lpstr>
      <vt:lpstr>'Hazard function'!f</vt:lpstr>
      <vt:lpstr>'Hazard function'!g</vt:lpstr>
      <vt:lpstr>gamma</vt:lpstr>
      <vt:lpstr>'Hazard function'!h</vt:lpstr>
      <vt:lpstr>'Hazard function'!i</vt:lpstr>
      <vt:lpstr>'Hazard function'!j</vt:lpstr>
      <vt:lpstr>'Hazard function'!k</vt:lpstr>
      <vt:lpstr>'Hazard function'!l</vt:lpstr>
      <vt:lpstr>lambda</vt:lpstr>
      <vt:lpstr>lifetable</vt:lpstr>
      <vt:lpstr>lngam</vt:lpstr>
      <vt:lpstr>lnlam</vt:lpstr>
      <vt:lpstr>'Hazard function'!m</vt:lpstr>
      <vt:lpstr>male</vt:lpstr>
      <vt:lpstr>maleC</vt:lpstr>
      <vt:lpstr>NP1!mr</vt:lpstr>
      <vt:lpstr>mr</vt:lpstr>
      <vt:lpstr>'Hazard function'!n</vt:lpstr>
      <vt:lpstr>NP1cost</vt:lpstr>
      <vt:lpstr>NP1lys</vt:lpstr>
      <vt:lpstr>NP1qalys</vt:lpstr>
      <vt:lpstr>np1RR</vt:lpstr>
      <vt:lpstr>'Hazard function'!o</vt:lpstr>
      <vt:lpstr>oDR</vt:lpstr>
      <vt:lpstr>omrPTHR</vt:lpstr>
      <vt:lpstr>omrRTHR</vt:lpstr>
      <vt:lpstr>p</vt:lpstr>
      <vt:lpstr>popEVPI</vt:lpstr>
      <vt:lpstr>Parameters!Print_Area</vt:lpstr>
      <vt:lpstr>Simulation!Print_Area</vt:lpstr>
      <vt:lpstr>q</vt:lpstr>
      <vt:lpstr>r_</vt:lpstr>
      <vt:lpstr>rrNP1</vt:lpstr>
      <vt:lpstr>rrNP2</vt:lpstr>
      <vt:lpstr>rrr</vt:lpstr>
      <vt:lpstr>s</vt:lpstr>
      <vt:lpstr>standardRR</vt:lpstr>
      <vt:lpstr>STDcost</vt:lpstr>
      <vt:lpstr>STDlys</vt:lpstr>
      <vt:lpstr>STDqalys</vt:lpstr>
      <vt:lpstr>t</vt:lpstr>
      <vt:lpstr>u</vt:lpstr>
      <vt:lpstr>uRevision</vt:lpstr>
      <vt:lpstr>uSuccessP</vt:lpstr>
      <vt:lpstr>uSuccessR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Customer</dc:creator>
  <cp:lastModifiedBy>Microsoft Office User</cp:lastModifiedBy>
  <cp:lastPrinted>2003-09-26T14:13:12Z</cp:lastPrinted>
  <dcterms:created xsi:type="dcterms:W3CDTF">1996-10-22T18:25:37Z</dcterms:created>
  <dcterms:modified xsi:type="dcterms:W3CDTF">2021-08-25T14:46:59Z</dcterms:modified>
</cp:coreProperties>
</file>